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40f615e256da48b4/Desktop/projects/Apex/Task 2/"/>
    </mc:Choice>
  </mc:AlternateContent>
  <xr:revisionPtr revIDLastSave="1" documentId="11_F25DC773A252ABDACC1048F5519E6DD85BDE58F3" xr6:coauthVersionLast="47" xr6:coauthVersionMax="47" xr10:uidLastSave="{0AA4E262-563B-40E5-A22C-8F4E22EF01A4}"/>
  <bookViews>
    <workbookView xWindow="-110" yWindow="-110" windowWidth="19420" windowHeight="10300" activeTab="1" xr2:uid="{00000000-000D-0000-FFFF-FFFF00000000}"/>
  </bookViews>
  <sheets>
    <sheet name="Sheet2" sheetId="2" r:id="rId1"/>
    <sheet name="Sheet1" sheetId="1" r:id="rId2"/>
  </sheets>
  <definedNames>
    <definedName name="_xlchart.v1.0" hidden="1">Sheet1!$D$1</definedName>
    <definedName name="_xlchart.v1.1" hidden="1">Sheet1!$D$2:$D$149</definedName>
    <definedName name="_xlchart.v1.2" hidden="1">Sheet1!$D$1</definedName>
    <definedName name="_xlchart.v1.3" hidden="1">Sheet1!$D$2:$D$149</definedName>
    <definedName name="_xlchart.v1.4" hidden="1">Sheet1!$Z$31</definedName>
    <definedName name="_xlchart.v1.5" hidden="1">Sheet1!$Z$31</definedName>
  </definedNames>
  <calcPr calcId="191029"/>
  <pivotCaches>
    <pivotCache cacheId="4" r:id="rId3"/>
    <pivotCache cacheId="12" r:id="rId4"/>
    <pivotCache cacheId="1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" i="1" l="1"/>
  <c r="V1" i="1"/>
  <c r="Y1" i="1"/>
  <c r="P1" i="1"/>
</calcChain>
</file>

<file path=xl/sharedStrings.xml><?xml version="1.0" encoding="utf-8"?>
<sst xmlns="http://schemas.openxmlformats.org/spreadsheetml/2006/main" count="920" uniqueCount="175">
  <si>
    <t>name</t>
  </si>
  <si>
    <t>online_order</t>
  </si>
  <si>
    <t>book_table</t>
  </si>
  <si>
    <t>rate</t>
  </si>
  <si>
    <t>votes</t>
  </si>
  <si>
    <t>approx_cost</t>
  </si>
  <si>
    <t>listed_type</t>
  </si>
  <si>
    <t>cost_category</t>
  </si>
  <si>
    <t>rating_category</t>
  </si>
  <si>
    <t>Jalsa</t>
  </si>
  <si>
    <t>Yes</t>
  </si>
  <si>
    <t>Buffet</t>
  </si>
  <si>
    <t>Medium</t>
  </si>
  <si>
    <t>Excellent</t>
  </si>
  <si>
    <t>Spice Elephant</t>
  </si>
  <si>
    <t>No</t>
  </si>
  <si>
    <t>San Churro Cafe</t>
  </si>
  <si>
    <t>Good</t>
  </si>
  <si>
    <t>Addhuri Udupi Bhojana</t>
  </si>
  <si>
    <t>Low</t>
  </si>
  <si>
    <t>Grand Village</t>
  </si>
  <si>
    <t>Timepass Dinner</t>
  </si>
  <si>
    <t>Rosewood International Hotel - Bar &amp; Restaurant</t>
  </si>
  <si>
    <t>Onesta</t>
  </si>
  <si>
    <t>Cafes</t>
  </si>
  <si>
    <t>Penthouse Cafe</t>
  </si>
  <si>
    <t>other</t>
  </si>
  <si>
    <t>Smacznego</t>
  </si>
  <si>
    <t>Village CafÃ©</t>
  </si>
  <si>
    <t>Cafe Shuffle</t>
  </si>
  <si>
    <t>The Coffee Shack</t>
  </si>
  <si>
    <t>Caf-Eleven</t>
  </si>
  <si>
    <t>Cafe Vivacity</t>
  </si>
  <si>
    <t>Catch-up-ino</t>
  </si>
  <si>
    <t>Kirthi's Biryani</t>
  </si>
  <si>
    <t>T3H Cafe</t>
  </si>
  <si>
    <t>360 Atoms Restaurant And Cafe</t>
  </si>
  <si>
    <t>The Vintage Cafe</t>
  </si>
  <si>
    <t>Woodee Pizza</t>
  </si>
  <si>
    <t>Cafe Coffee Day</t>
  </si>
  <si>
    <t>My Tea House</t>
  </si>
  <si>
    <t>Hide Out Cafe</t>
  </si>
  <si>
    <t>CAFE NOVA</t>
  </si>
  <si>
    <t>Coffee Tindi</t>
  </si>
  <si>
    <t>Sea Green Cafe</t>
  </si>
  <si>
    <t>Cuppa</t>
  </si>
  <si>
    <t>Srinathji's Cafe</t>
  </si>
  <si>
    <t>Redberrys</t>
  </si>
  <si>
    <t>Foodiction</t>
  </si>
  <si>
    <t>Average</t>
  </si>
  <si>
    <t>Sweet Truth</t>
  </si>
  <si>
    <t>Dining</t>
  </si>
  <si>
    <t>Ovenstory Pizza</t>
  </si>
  <si>
    <t>Faasos</t>
  </si>
  <si>
    <t>Behrouz Biryani</t>
  </si>
  <si>
    <t>Fast And Fresh</t>
  </si>
  <si>
    <t>Szechuan Dragon</t>
  </si>
  <si>
    <t>Empire Restaurant</t>
  </si>
  <si>
    <t>Maruthi Davangere Benne Dosa</t>
  </si>
  <si>
    <t>Chaatimes</t>
  </si>
  <si>
    <t>Havyaka Mess</t>
  </si>
  <si>
    <t>McDonald's</t>
  </si>
  <si>
    <t>Domino's Pizza</t>
  </si>
  <si>
    <t>Hotboxit</t>
  </si>
  <si>
    <t>Kitchen Garden</t>
  </si>
  <si>
    <t>Recipe</t>
  </si>
  <si>
    <t>Beijing Bites</t>
  </si>
  <si>
    <t>Tasty Bytes</t>
  </si>
  <si>
    <t>Petoo</t>
  </si>
  <si>
    <t>Shree Cool Point</t>
  </si>
  <si>
    <t>Corner House Ice Cream</t>
  </si>
  <si>
    <t>Biryanis And More</t>
  </si>
  <si>
    <t>Roving Feast</t>
  </si>
  <si>
    <t>FreshMenu</t>
  </si>
  <si>
    <t>Banashankari Donne Biriyani</t>
  </si>
  <si>
    <t>Wamama</t>
  </si>
  <si>
    <t>Five Star Chicken</t>
  </si>
  <si>
    <t>XO Belgian Waffle</t>
  </si>
  <si>
    <t>Peppy Peppers</t>
  </si>
  <si>
    <t>Goa 0 Km</t>
  </si>
  <si>
    <t>Chinese Kitchen</t>
  </si>
  <si>
    <t>Jeet Restaurant</t>
  </si>
  <si>
    <t>Cake of the Day</t>
  </si>
  <si>
    <t>Kabab Magic</t>
  </si>
  <si>
    <t>Namma Brahmin's Idli</t>
  </si>
  <si>
    <t>Gustoes Beer House</t>
  </si>
  <si>
    <t>Sugar Rush</t>
  </si>
  <si>
    <t>Burger King</t>
  </si>
  <si>
    <t>The Good Bowl</t>
  </si>
  <si>
    <t>The Biryani Cafe</t>
  </si>
  <si>
    <t>Spicy Tandoor</t>
  </si>
  <si>
    <t>LSD Cafe</t>
  </si>
  <si>
    <t>Rolls On Wheels</t>
  </si>
  <si>
    <t>Om Sri Vinayaka Chats</t>
  </si>
  <si>
    <t>Sri Guru Kottureshwara Davangere Benne Dosa</t>
  </si>
  <si>
    <t>Devanna Dum Biriyani Centre</t>
  </si>
  <si>
    <t>Kolbeh</t>
  </si>
  <si>
    <t>Upahar Sagar</t>
  </si>
  <si>
    <t>Kadalu Sea Food Restaurant</t>
  </si>
  <si>
    <t>Frozen Bottle</t>
  </si>
  <si>
    <t>Parimala Sweets</t>
  </si>
  <si>
    <t>Vaishali Deluxe</t>
  </si>
  <si>
    <t>Chill Out</t>
  </si>
  <si>
    <t>The Big O Bakes</t>
  </si>
  <si>
    <t>Meghana Foods</t>
  </si>
  <si>
    <t>Krishna Sagar</t>
  </si>
  <si>
    <t>Dessert Rose</t>
  </si>
  <si>
    <t>Chickpet Donne Biryani House</t>
  </si>
  <si>
    <t>Me And My Cake</t>
  </si>
  <si>
    <t>Sunsadm</t>
  </si>
  <si>
    <t>Annapooraneshwari Mess</t>
  </si>
  <si>
    <t>Thanco's Natural Ice Creams</t>
  </si>
  <si>
    <t>Nandhini Deluxe</t>
  </si>
  <si>
    <t>Vi Ra's Bar and Restaurant</t>
  </si>
  <si>
    <t>Kaggis</t>
  </si>
  <si>
    <t>Ayda Persian Kitchen</t>
  </si>
  <si>
    <t>Chatar Patar</t>
  </si>
  <si>
    <t>Polar Bear</t>
  </si>
  <si>
    <t>Kidambi's Kitchen</t>
  </si>
  <si>
    <t>Mane Thindi</t>
  </si>
  <si>
    <t>Kotian Karavali Restaurant</t>
  </si>
  <si>
    <t>Floured-Baked With Love</t>
  </si>
  <si>
    <t>Cakes &amp; Slices</t>
  </si>
  <si>
    <t>Spice 9</t>
  </si>
  <si>
    <t>Coffee Shopee</t>
  </si>
  <si>
    <t>Naveen Kabab &amp; Biriyani Mane</t>
  </si>
  <si>
    <t>Katriguppe Donne Biryani</t>
  </si>
  <si>
    <t>Hari Super Sandwich</t>
  </si>
  <si>
    <t>Atithi Point Ande Ka Funda</t>
  </si>
  <si>
    <t>Just Bake</t>
  </si>
  <si>
    <t>Dharwad Line Bazaar Mishra Pedha</t>
  </si>
  <si>
    <t>Cake Bite</t>
  </si>
  <si>
    <t>Aarush's Food Plaza</t>
  </si>
  <si>
    <t>Wood Stove</t>
  </si>
  <si>
    <t>Kulfi &amp; More</t>
  </si>
  <si>
    <t>Kannadigas Karavali</t>
  </si>
  <si>
    <t>K27 - The Pub</t>
  </si>
  <si>
    <t>Bengaluru Coffee House</t>
  </si>
  <si>
    <t>New Mangalore Lunch Home</t>
  </si>
  <si>
    <t>Coffee Bytes</t>
  </si>
  <si>
    <t>Parjanya Chat Zone</t>
  </si>
  <si>
    <t>Kwality Wall's Swirl's Happiness Station</t>
  </si>
  <si>
    <t>Soms Kitchen &amp; Bakes</t>
  </si>
  <si>
    <t>Banashankari Nati Style</t>
  </si>
  <si>
    <t>Ruchi Maayaka</t>
  </si>
  <si>
    <t>Mohitesh Hut Roll</t>
  </si>
  <si>
    <t>Sri Basaveshwar Jolada Rotti Oota</t>
  </si>
  <si>
    <t>Roll Magic Fast Food</t>
  </si>
  <si>
    <t>Foodlieious Multi Cuisine</t>
  </si>
  <si>
    <t>Thanishka Nati And Karavali Style</t>
  </si>
  <si>
    <t>Swathi Cool Point</t>
  </si>
  <si>
    <t>Kaumudis Juoice</t>
  </si>
  <si>
    <t>Amma - Manae</t>
  </si>
  <si>
    <t>Sri Sai Tiffannies</t>
  </si>
  <si>
    <t>Hotel Andhra Speices</t>
  </si>
  <si>
    <t>Sri Murari Family Restaurant</t>
  </si>
  <si>
    <t>Aramane Donne Biriyani</t>
  </si>
  <si>
    <t>Darkolates</t>
  </si>
  <si>
    <t>Swaada Healthy Kitchen</t>
  </si>
  <si>
    <t>Gawdaru Mane Beriyani</t>
  </si>
  <si>
    <t>Melting Melodies</t>
  </si>
  <si>
    <t>New Indraprasta</t>
  </si>
  <si>
    <t>Anna Kuteera</t>
  </si>
  <si>
    <t>Darbar</t>
  </si>
  <si>
    <t>Vijayalakshmi</t>
  </si>
  <si>
    <t>AVG RATING</t>
  </si>
  <si>
    <t>AVG COST</t>
  </si>
  <si>
    <t>TOTAL VOTES</t>
  </si>
  <si>
    <t>TOTAL RESTAURENTS</t>
  </si>
  <si>
    <t>Row Labels</t>
  </si>
  <si>
    <t>Grand Total</t>
  </si>
  <si>
    <t>Count of listed_type</t>
  </si>
  <si>
    <t>(blank)</t>
  </si>
  <si>
    <t>Count of cost_category</t>
  </si>
  <si>
    <t>Count of online_order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</si>
</sst>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[Excel.xlsx]Sheet2!PivotTable1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RESTAURENT TYPES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Sheet2!$A$4:$A$8</c:f>
              <c:strCache>
                <c:ptCount val="4"/>
                <c:pt idx="0">
                  <c:v>Buffet</c:v>
                </c:pt>
                <c:pt idx="1">
                  <c:v>Cafes</c:v>
                </c:pt>
                <c:pt idx="2">
                  <c:v>Dining</c:v>
                </c:pt>
                <c:pt idx="3">
                  <c:v>other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7</c:v>
                </c:pt>
                <c:pt idx="1">
                  <c:v>23</c:v>
                </c:pt>
                <c:pt idx="2">
                  <c:v>110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57-49A1-BB35-4AE3E3C5C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9722783"/>
        <c:axId val="1519719423"/>
        <c:axId val="0"/>
      </c:bar3DChart>
      <c:catAx>
        <c:axId val="1519722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719423"/>
        <c:crosses val="autoZero"/>
        <c:auto val="1"/>
        <c:lblAlgn val="ctr"/>
        <c:lblOffset val="100"/>
        <c:noMultiLvlLbl val="0"/>
      </c:catAx>
      <c:valAx>
        <c:axId val="151971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72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>
      <a:outerShdw blurRad="63500" sx="102000" sy="102000" algn="ctr" rotWithShape="0">
        <a:prstClr val="black">
          <a:alpha val="40000"/>
        </a:prstClr>
      </a:outerShdw>
      <a:softEdge rad="31750"/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[Excel.xlsx]Sheet2!PivotTable3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CATEGORY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Sheet2!$E$3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Sheet2!$D$4:$D$7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(blank)</c:v>
                </c:pt>
              </c:strCache>
            </c:strRef>
          </c:cat>
          <c:val>
            <c:numRef>
              <c:f>Sheet2!$E$4:$E$7</c:f>
              <c:numCache>
                <c:formatCode>General</c:formatCode>
                <c:ptCount val="3"/>
                <c:pt idx="0">
                  <c:v>91</c:v>
                </c:pt>
                <c:pt idx="1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A-44F1-A794-1E628344D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86523855"/>
        <c:axId val="1586521455"/>
        <c:axId val="0"/>
      </c:bar3DChart>
      <c:catAx>
        <c:axId val="1586523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521455"/>
        <c:crosses val="autoZero"/>
        <c:auto val="1"/>
        <c:lblAlgn val="ctr"/>
        <c:lblOffset val="100"/>
        <c:noMultiLvlLbl val="0"/>
      </c:catAx>
      <c:valAx>
        <c:axId val="158652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52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>
      <a:outerShdw blurRad="63500" sx="102000" sy="102000" algn="ctr" rotWithShape="0">
        <a:prstClr val="black">
          <a:alpha val="40000"/>
        </a:prstClr>
      </a:outerShdw>
      <a:softEdge rad="31750"/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[Excel.xlsx]Sheet2!PivotTable4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dk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ONLINE ORDER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dk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Sheet2!$B$12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Sheet2!$A$13:$A$16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Sheet2!$B$13:$B$16</c:f>
              <c:numCache>
                <c:formatCode>General</c:formatCode>
                <c:ptCount val="3"/>
                <c:pt idx="0">
                  <c:v>90</c:v>
                </c:pt>
                <c:pt idx="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7D-48D4-8B1C-DB0BF1186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2789407"/>
        <c:axId val="1522798527"/>
        <c:axId val="0"/>
      </c:bar3DChart>
      <c:catAx>
        <c:axId val="1522789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798527"/>
        <c:crosses val="autoZero"/>
        <c:auto val="1"/>
        <c:lblAlgn val="ctr"/>
        <c:lblOffset val="100"/>
        <c:noMultiLvlLbl val="0"/>
      </c:catAx>
      <c:valAx>
        <c:axId val="1522798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78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>
      <a:outerShdw blurRad="63500" sx="102000" sy="102000" algn="ctr" rotWithShape="0">
        <a:prstClr val="black">
          <a:alpha val="40000"/>
        </a:prstClr>
      </a:outerShdw>
      <a:softEdge rad="31750"/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RATING DISTRIBUTION</cx:v>
        </cx:txData>
      </cx:tx>
    </cx:title>
    <cx:plotArea>
      <cx:plotAreaRegion>
        <cx:series layoutId="clusteredColumn" uniqueId="{47135A54-FDB4-402E-87C1-6C9DE60B6F82}">
          <cx:tx>
            <cx:txData>
              <cx:f>_xlchart.v1.2</cx:f>
              <cx:v>rate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>
      <a:outerShdw blurRad="63500" sx="102000" sy="102000" algn="ctr" rotWithShape="0">
        <a:prstClr val="black">
          <a:alpha val="40000"/>
        </a:prstClr>
      </a:outerShdw>
      <a:softEdge rad="31750"/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293078</xdr:colOff>
      <xdr:row>5</xdr:row>
      <xdr:rowOff>146538</xdr:rowOff>
    </xdr:from>
    <xdr:to>
      <xdr:col>20</xdr:col>
      <xdr:colOff>341923</xdr:colOff>
      <xdr:row>17</xdr:row>
      <xdr:rowOff>9770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A049CD-47D1-4C7C-B35B-38D5ED0802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146537</xdr:colOff>
      <xdr:row>5</xdr:row>
      <xdr:rowOff>146539</xdr:rowOff>
    </xdr:from>
    <xdr:to>
      <xdr:col>28</xdr:col>
      <xdr:colOff>195384</xdr:colOff>
      <xdr:row>17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19D1E9-159C-4CB6-890D-3299DF14A3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273538</xdr:colOff>
      <xdr:row>19</xdr:row>
      <xdr:rowOff>68385</xdr:rowOff>
    </xdr:from>
    <xdr:to>
      <xdr:col>20</xdr:col>
      <xdr:colOff>361462</xdr:colOff>
      <xdr:row>30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725514D-0F53-47A6-93B4-D0169C1917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151423</xdr:colOff>
      <xdr:row>19</xdr:row>
      <xdr:rowOff>25400</xdr:rowOff>
    </xdr:from>
    <xdr:to>
      <xdr:col>28</xdr:col>
      <xdr:colOff>185615</xdr:colOff>
      <xdr:row>30</xdr:row>
      <xdr:rowOff>68385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5A7D5502-1182-0089-25C8-8209CC6E34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97961" y="3845169"/>
              <a:ext cx="4410808" cy="20847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vitha devathi" refreshedDate="46152.83944398148" createdVersion="8" refreshedVersion="8" minRefreshableVersion="3" recordCount="148" xr:uid="{2813E784-EDE9-4EDF-859E-F6BAFF049B91}">
  <cacheSource type="worksheet">
    <worksheetSource ref="A1:I149" sheet="Sheet1"/>
  </cacheSource>
  <cacheFields count="9">
    <cacheField name="name" numFmtId="0">
      <sharedItems/>
    </cacheField>
    <cacheField name="online_order" numFmtId="0">
      <sharedItems/>
    </cacheField>
    <cacheField name="book_table" numFmtId="0">
      <sharedItems/>
    </cacheField>
    <cacheField name="rate" numFmtId="0">
      <sharedItems containsSemiMixedTypes="0" containsString="0" containsNumber="1" minValue="2.6" maxValue="4.5999999999999996"/>
    </cacheField>
    <cacheField name="votes" numFmtId="0">
      <sharedItems containsSemiMixedTypes="0" containsString="0" containsNumber="1" containsInteger="1" minValue="0" maxValue="4884"/>
    </cacheField>
    <cacheField name="approx_cost" numFmtId="0">
      <sharedItems containsSemiMixedTypes="0" containsString="0" containsNumber="1" containsInteger="1" minValue="100" maxValue="950"/>
    </cacheField>
    <cacheField name="listed_type" numFmtId="0">
      <sharedItems count="4">
        <s v="Buffet"/>
        <s v="Cafes"/>
        <s v="other"/>
        <s v="Dining"/>
      </sharedItems>
    </cacheField>
    <cacheField name="cost_category" numFmtId="0">
      <sharedItems/>
    </cacheField>
    <cacheField name="rating_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vitha devathi" refreshedDate="46152.8442931713" createdVersion="8" refreshedVersion="8" minRefreshableVersion="3" recordCount="149" xr:uid="{69FDC3BC-7E16-4874-9A36-0258DC9162BC}">
  <cacheSource type="worksheet">
    <worksheetSource ref="H1:H1048576" sheet="Sheet1"/>
  </cacheSource>
  <cacheFields count="1">
    <cacheField name="cost_category" numFmtId="0">
      <sharedItems containsBlank="1" count="3">
        <s v="Medium"/>
        <s v="Low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vitha devathi" refreshedDate="46152.845441203703" createdVersion="8" refreshedVersion="8" minRefreshableVersion="3" recordCount="149" xr:uid="{E1249093-8372-45CC-A0EB-A583EFD74DA6}">
  <cacheSource type="worksheet">
    <worksheetSource ref="B1:B1048576" sheet="Sheet1"/>
  </cacheSource>
  <cacheFields count="1">
    <cacheField name="online_order" numFmtId="0">
      <sharedItems containsBlank="1" count="3">
        <s v="Yes"/>
        <s v="N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s v="Jalsa"/>
    <s v="Yes"/>
    <s v="Yes"/>
    <n v="4.0999999999999996"/>
    <n v="775"/>
    <n v="800"/>
    <x v="0"/>
    <s v="Medium"/>
    <s v="Excellent"/>
  </r>
  <r>
    <s v="Spice Elephant"/>
    <s v="Yes"/>
    <s v="No"/>
    <n v="4.0999999999999996"/>
    <n v="787"/>
    <n v="800"/>
    <x v="0"/>
    <s v="Medium"/>
    <s v="Excellent"/>
  </r>
  <r>
    <s v="San Churro Cafe"/>
    <s v="Yes"/>
    <s v="No"/>
    <n v="3.8"/>
    <n v="918"/>
    <n v="800"/>
    <x v="0"/>
    <s v="Medium"/>
    <s v="Good"/>
  </r>
  <r>
    <s v="Addhuri Udupi Bhojana"/>
    <s v="No"/>
    <s v="No"/>
    <n v="3.7"/>
    <n v="88"/>
    <n v="300"/>
    <x v="0"/>
    <s v="Low"/>
    <s v="Good"/>
  </r>
  <r>
    <s v="Grand Village"/>
    <s v="No"/>
    <s v="No"/>
    <n v="3.8"/>
    <n v="166"/>
    <n v="600"/>
    <x v="0"/>
    <s v="Medium"/>
    <s v="Good"/>
  </r>
  <r>
    <s v="Timepass Dinner"/>
    <s v="Yes"/>
    <s v="No"/>
    <n v="3.8"/>
    <n v="286"/>
    <n v="600"/>
    <x v="0"/>
    <s v="Medium"/>
    <s v="Good"/>
  </r>
  <r>
    <s v="Rosewood International Hotel - Bar &amp; Restaurant"/>
    <s v="No"/>
    <s v="No"/>
    <n v="3.6"/>
    <n v="8"/>
    <n v="800"/>
    <x v="0"/>
    <s v="Medium"/>
    <s v="Good"/>
  </r>
  <r>
    <s v="Onesta"/>
    <s v="Yes"/>
    <s v="Yes"/>
    <n v="4.5999999999999996"/>
    <n v="2556"/>
    <n v="600"/>
    <x v="1"/>
    <s v="Medium"/>
    <s v="Excellent"/>
  </r>
  <r>
    <s v="Penthouse Cafe"/>
    <s v="Yes"/>
    <s v="No"/>
    <n v="4"/>
    <n v="324"/>
    <n v="700"/>
    <x v="2"/>
    <s v="Medium"/>
    <s v="Excellent"/>
  </r>
  <r>
    <s v="Smacznego"/>
    <s v="Yes"/>
    <s v="No"/>
    <n v="4.2"/>
    <n v="504"/>
    <n v="550"/>
    <x v="1"/>
    <s v="Medium"/>
    <s v="Excellent"/>
  </r>
  <r>
    <s v="Village CafÃ©"/>
    <s v="Yes"/>
    <s v="No"/>
    <n v="4.0999999999999996"/>
    <n v="402"/>
    <n v="500"/>
    <x v="1"/>
    <s v="Medium"/>
    <s v="Excellent"/>
  </r>
  <r>
    <s v="Cafe Shuffle"/>
    <s v="Yes"/>
    <s v="Yes"/>
    <n v="4.2"/>
    <n v="150"/>
    <n v="600"/>
    <x v="1"/>
    <s v="Medium"/>
    <s v="Excellent"/>
  </r>
  <r>
    <s v="The Coffee Shack"/>
    <s v="Yes"/>
    <s v="Yes"/>
    <n v="4.2"/>
    <n v="164"/>
    <n v="500"/>
    <x v="1"/>
    <s v="Medium"/>
    <s v="Excellent"/>
  </r>
  <r>
    <s v="Caf-Eleven"/>
    <s v="No"/>
    <s v="No"/>
    <n v="4"/>
    <n v="424"/>
    <n v="450"/>
    <x v="1"/>
    <s v="Low"/>
    <s v="Excellent"/>
  </r>
  <r>
    <s v="San Churro Cafe"/>
    <s v="Yes"/>
    <s v="No"/>
    <n v="3.8"/>
    <n v="918"/>
    <n v="800"/>
    <x v="1"/>
    <s v="Medium"/>
    <s v="Good"/>
  </r>
  <r>
    <s v="Cafe Vivacity"/>
    <s v="Yes"/>
    <s v="No"/>
    <n v="3.8"/>
    <n v="90"/>
    <n v="650"/>
    <x v="1"/>
    <s v="Medium"/>
    <s v="Good"/>
  </r>
  <r>
    <s v="Catch-up-ino"/>
    <s v="Yes"/>
    <s v="No"/>
    <n v="3.9"/>
    <n v="133"/>
    <n v="800"/>
    <x v="1"/>
    <s v="Medium"/>
    <s v="Good"/>
  </r>
  <r>
    <s v="Kirthi's Biryani"/>
    <s v="Yes"/>
    <s v="No"/>
    <n v="3.8"/>
    <n v="144"/>
    <n v="700"/>
    <x v="1"/>
    <s v="Medium"/>
    <s v="Good"/>
  </r>
  <r>
    <s v="T3H Cafe"/>
    <s v="No"/>
    <s v="No"/>
    <n v="3.9"/>
    <n v="93"/>
    <n v="300"/>
    <x v="1"/>
    <s v="Low"/>
    <s v="Good"/>
  </r>
  <r>
    <s v="360 Atoms Restaurant And Cafe"/>
    <s v="Yes"/>
    <s v="No"/>
    <n v="3.1"/>
    <n v="13"/>
    <n v="400"/>
    <x v="1"/>
    <s v="Low"/>
    <s v="Good"/>
  </r>
  <r>
    <s v="The Vintage Cafe"/>
    <s v="Yes"/>
    <s v="No"/>
    <n v="3"/>
    <n v="62"/>
    <n v="400"/>
    <x v="1"/>
    <s v="Low"/>
    <s v="Good"/>
  </r>
  <r>
    <s v="Woodee Pizza"/>
    <s v="Yes"/>
    <s v="No"/>
    <n v="3.7"/>
    <n v="180"/>
    <n v="500"/>
    <x v="1"/>
    <s v="Medium"/>
    <s v="Good"/>
  </r>
  <r>
    <s v="Cafe Coffee Day"/>
    <s v="No"/>
    <s v="No"/>
    <n v="3.6"/>
    <n v="28"/>
    <n v="900"/>
    <x v="1"/>
    <s v="Medium"/>
    <s v="Good"/>
  </r>
  <r>
    <s v="My Tea House"/>
    <s v="Yes"/>
    <s v="No"/>
    <n v="3.6"/>
    <n v="62"/>
    <n v="600"/>
    <x v="1"/>
    <s v="Medium"/>
    <s v="Good"/>
  </r>
  <r>
    <s v="Hide Out Cafe"/>
    <s v="No"/>
    <s v="No"/>
    <n v="3.7"/>
    <n v="31"/>
    <n v="300"/>
    <x v="1"/>
    <s v="Low"/>
    <s v="Good"/>
  </r>
  <r>
    <s v="CAFE NOVA"/>
    <s v="No"/>
    <s v="No"/>
    <n v="3.2"/>
    <n v="11"/>
    <n v="600"/>
    <x v="1"/>
    <s v="Medium"/>
    <s v="Good"/>
  </r>
  <r>
    <s v="Coffee Tindi"/>
    <s v="Yes"/>
    <s v="No"/>
    <n v="3.8"/>
    <n v="75"/>
    <n v="200"/>
    <x v="1"/>
    <s v="Low"/>
    <s v="Good"/>
  </r>
  <r>
    <s v="Sea Green Cafe"/>
    <s v="No"/>
    <s v="No"/>
    <n v="3.3"/>
    <n v="4"/>
    <n v="500"/>
    <x v="1"/>
    <s v="Medium"/>
    <s v="Good"/>
  </r>
  <r>
    <s v="Cuppa"/>
    <s v="No"/>
    <s v="No"/>
    <n v="3.3"/>
    <n v="23"/>
    <n v="550"/>
    <x v="1"/>
    <s v="Medium"/>
    <s v="Good"/>
  </r>
  <r>
    <s v="Srinathji's Cafe"/>
    <s v="No"/>
    <s v="No"/>
    <n v="3.8"/>
    <n v="148"/>
    <n v="550"/>
    <x v="1"/>
    <s v="Medium"/>
    <s v="Good"/>
  </r>
  <r>
    <s v="Redberrys"/>
    <s v="Yes"/>
    <s v="No"/>
    <n v="4"/>
    <n v="219"/>
    <n v="600"/>
    <x v="1"/>
    <s v="Medium"/>
    <s v="Excellent"/>
  </r>
  <r>
    <s v="Foodiction"/>
    <s v="Yes"/>
    <s v="No"/>
    <n v="2.8"/>
    <n v="506"/>
    <n v="500"/>
    <x v="2"/>
    <s v="Medium"/>
    <s v="Average"/>
  </r>
  <r>
    <s v="Sweet Truth"/>
    <s v="Yes"/>
    <s v="No"/>
    <n v="3.9"/>
    <n v="35"/>
    <n v="500"/>
    <x v="3"/>
    <s v="Medium"/>
    <s v="Good"/>
  </r>
  <r>
    <s v="Ovenstory Pizza"/>
    <s v="Yes"/>
    <s v="No"/>
    <n v="3.9"/>
    <n v="172"/>
    <n v="750"/>
    <x v="3"/>
    <s v="Medium"/>
    <s v="Good"/>
  </r>
  <r>
    <s v="Faasos"/>
    <s v="Yes"/>
    <s v="No"/>
    <n v="4.2"/>
    <n v="415"/>
    <n v="500"/>
    <x v="2"/>
    <s v="Medium"/>
    <s v="Excellent"/>
  </r>
  <r>
    <s v="Behrouz Biryani"/>
    <s v="Yes"/>
    <s v="No"/>
    <n v="3.9"/>
    <n v="230"/>
    <n v="650"/>
    <x v="3"/>
    <s v="Medium"/>
    <s v="Good"/>
  </r>
  <r>
    <s v="Fast And Fresh"/>
    <s v="Yes"/>
    <s v="No"/>
    <n v="2.8"/>
    <n v="91"/>
    <n v="400"/>
    <x v="3"/>
    <s v="Low"/>
    <s v="Average"/>
  </r>
  <r>
    <s v="Szechuan Dragon"/>
    <s v="Yes"/>
    <s v="No"/>
    <n v="4.2"/>
    <n v="1647"/>
    <n v="600"/>
    <x v="3"/>
    <s v="Medium"/>
    <s v="Excellent"/>
  </r>
  <r>
    <s v="Empire Restaurant"/>
    <s v="Yes"/>
    <s v="No"/>
    <n v="4.4000000000000004"/>
    <n v="4884"/>
    <n v="750"/>
    <x v="2"/>
    <s v="Medium"/>
    <s v="Excellent"/>
  </r>
  <r>
    <s v="Maruthi Davangere Benne Dosa"/>
    <s v="Yes"/>
    <s v="No"/>
    <n v="4"/>
    <n v="17"/>
    <n v="150"/>
    <x v="3"/>
    <s v="Low"/>
    <s v="Excellent"/>
  </r>
  <r>
    <s v="Chaatimes"/>
    <s v="Yes"/>
    <s v="No"/>
    <n v="3.8"/>
    <n v="133"/>
    <n v="200"/>
    <x v="3"/>
    <s v="Low"/>
    <s v="Good"/>
  </r>
  <r>
    <s v="Havyaka Mess"/>
    <s v="No"/>
    <s v="No"/>
    <n v="3.9"/>
    <n v="28"/>
    <n v="300"/>
    <x v="3"/>
    <s v="Low"/>
    <s v="Good"/>
  </r>
  <r>
    <s v="McDonald's"/>
    <s v="Yes"/>
    <s v="No"/>
    <n v="3.9"/>
    <n v="286"/>
    <n v="500"/>
    <x v="3"/>
    <s v="Medium"/>
    <s v="Good"/>
  </r>
  <r>
    <s v="Domino's Pizza"/>
    <s v="Yes"/>
    <s v="No"/>
    <n v="3.9"/>
    <n v="540"/>
    <n v="800"/>
    <x v="3"/>
    <s v="Medium"/>
    <s v="Good"/>
  </r>
  <r>
    <s v="Onesta"/>
    <s v="Yes"/>
    <s v="Yes"/>
    <n v="4.5999999999999996"/>
    <n v="2556"/>
    <n v="600"/>
    <x v="2"/>
    <s v="Medium"/>
    <s v="Excellent"/>
  </r>
  <r>
    <s v="Hotboxit"/>
    <s v="No"/>
    <s v="No"/>
    <n v="3.8"/>
    <n v="36"/>
    <n v="400"/>
    <x v="3"/>
    <s v="Low"/>
    <s v="Good"/>
  </r>
  <r>
    <s v="Kitchen Garden"/>
    <s v="Yes"/>
    <s v="No"/>
    <n v="3.6"/>
    <n v="244"/>
    <n v="300"/>
    <x v="3"/>
    <s v="Low"/>
    <s v="Good"/>
  </r>
  <r>
    <s v="Recipe"/>
    <s v="Yes"/>
    <s v="No"/>
    <n v="4"/>
    <n v="804"/>
    <n v="450"/>
    <x v="3"/>
    <s v="Low"/>
    <s v="Excellent"/>
  </r>
  <r>
    <s v="Beijing Bites"/>
    <s v="Yes"/>
    <s v="No"/>
    <n v="3.7"/>
    <n v="679"/>
    <n v="850"/>
    <x v="3"/>
    <s v="Medium"/>
    <s v="Good"/>
  </r>
  <r>
    <s v="Tasty Bytes"/>
    <s v="Yes"/>
    <s v="No"/>
    <n v="3.1"/>
    <n v="245"/>
    <n v="300"/>
    <x v="3"/>
    <s v="Low"/>
    <s v="Good"/>
  </r>
  <r>
    <s v="Petoo"/>
    <s v="No"/>
    <s v="No"/>
    <n v="3.7"/>
    <n v="21"/>
    <n v="450"/>
    <x v="3"/>
    <s v="Low"/>
    <s v="Good"/>
  </r>
  <r>
    <s v="Shree Cool Point"/>
    <s v="Yes"/>
    <s v="No"/>
    <n v="4.0999999999999996"/>
    <n v="28"/>
    <n v="150"/>
    <x v="3"/>
    <s v="Low"/>
    <s v="Excellent"/>
  </r>
  <r>
    <s v="Corner House Ice Cream"/>
    <s v="No"/>
    <s v="No"/>
    <n v="4.3"/>
    <n v="345"/>
    <n v="400"/>
    <x v="3"/>
    <s v="Low"/>
    <s v="Excellent"/>
  </r>
  <r>
    <s v="Biryanis And More"/>
    <s v="Yes"/>
    <s v="No"/>
    <n v="4"/>
    <n v="618"/>
    <n v="750"/>
    <x v="3"/>
    <s v="Medium"/>
    <s v="Excellent"/>
  </r>
  <r>
    <s v="Roving Feast"/>
    <s v="No"/>
    <s v="No"/>
    <n v="4"/>
    <n v="1047"/>
    <n v="450"/>
    <x v="3"/>
    <s v="Low"/>
    <s v="Excellent"/>
  </r>
  <r>
    <s v="FreshMenu"/>
    <s v="Yes"/>
    <s v="No"/>
    <n v="3.9"/>
    <n v="627"/>
    <n v="450"/>
    <x v="3"/>
    <s v="Low"/>
    <s v="Good"/>
  </r>
  <r>
    <s v="Banashankari Donne Biriyani"/>
    <s v="Yes"/>
    <s v="No"/>
    <n v="3.8"/>
    <n v="104"/>
    <n v="300"/>
    <x v="3"/>
    <s v="Low"/>
    <s v="Good"/>
  </r>
  <r>
    <s v="Wamama"/>
    <s v="Yes"/>
    <s v="Yes"/>
    <n v="4.2"/>
    <n v="354"/>
    <n v="800"/>
    <x v="2"/>
    <s v="Medium"/>
    <s v="Excellent"/>
  </r>
  <r>
    <s v="Five Star Chicken"/>
    <s v="No"/>
    <s v="No"/>
    <n v="3.6"/>
    <n v="55"/>
    <n v="200"/>
    <x v="3"/>
    <s v="Low"/>
    <s v="Good"/>
  </r>
  <r>
    <s v="XO Belgian Waffle"/>
    <s v="Yes"/>
    <s v="No"/>
    <n v="3.7"/>
    <n v="17"/>
    <n v="400"/>
    <x v="3"/>
    <s v="Low"/>
    <s v="Good"/>
  </r>
  <r>
    <s v="Peppy Peppers"/>
    <s v="No"/>
    <s v="No"/>
    <n v="4.2"/>
    <n v="244"/>
    <n v="800"/>
    <x v="2"/>
    <s v="Medium"/>
    <s v="Excellent"/>
  </r>
  <r>
    <s v="Goa 0 Km"/>
    <s v="Yes"/>
    <s v="Yes"/>
    <n v="3.6"/>
    <n v="163"/>
    <n v="800"/>
    <x v="3"/>
    <s v="Medium"/>
    <s v="Good"/>
  </r>
  <r>
    <s v="Chinese Kitchen"/>
    <s v="Yes"/>
    <s v="No"/>
    <n v="3.8"/>
    <n v="58"/>
    <n v="150"/>
    <x v="3"/>
    <s v="Low"/>
    <s v="Good"/>
  </r>
  <r>
    <s v="Jeet Restaurant"/>
    <s v="No"/>
    <s v="Yes"/>
    <n v="4"/>
    <n v="808"/>
    <n v="850"/>
    <x v="3"/>
    <s v="Medium"/>
    <s v="Excellent"/>
  </r>
  <r>
    <s v="Cake of the Day"/>
    <s v="No"/>
    <s v="No"/>
    <n v="3.7"/>
    <n v="78"/>
    <n v="150"/>
    <x v="3"/>
    <s v="Low"/>
    <s v="Good"/>
  </r>
  <r>
    <s v="Kabab Magic"/>
    <s v="Yes"/>
    <s v="No"/>
    <n v="4.0999999999999996"/>
    <n v="1720"/>
    <n v="400"/>
    <x v="3"/>
    <s v="Low"/>
    <s v="Excellent"/>
  </r>
  <r>
    <s v="Namma Brahmin's Idli"/>
    <s v="Yes"/>
    <s v="No"/>
    <n v="3.6"/>
    <n v="34"/>
    <n v="100"/>
    <x v="3"/>
    <s v="Low"/>
    <s v="Good"/>
  </r>
  <r>
    <s v="Gustoes Beer House"/>
    <s v="No"/>
    <s v="No"/>
    <n v="4.0999999999999996"/>
    <n v="868"/>
    <n v="700"/>
    <x v="3"/>
    <s v="Medium"/>
    <s v="Excellent"/>
  </r>
  <r>
    <s v="Sugar Rush"/>
    <s v="No"/>
    <s v="No"/>
    <n v="3.8"/>
    <n v="39"/>
    <n v="300"/>
    <x v="3"/>
    <s v="Low"/>
    <s v="Good"/>
  </r>
  <r>
    <s v="Burger King"/>
    <s v="Yes"/>
    <s v="No"/>
    <n v="3.2"/>
    <n v="71"/>
    <n v="600"/>
    <x v="3"/>
    <s v="Medium"/>
    <s v="Good"/>
  </r>
  <r>
    <s v="The Good Bowl"/>
    <s v="Yes"/>
    <s v="No"/>
    <n v="3.6"/>
    <n v="6"/>
    <n v="500"/>
    <x v="3"/>
    <s v="Medium"/>
    <s v="Good"/>
  </r>
  <r>
    <s v="The Biryani Cafe"/>
    <s v="No"/>
    <s v="No"/>
    <n v="4.0999999999999996"/>
    <n v="520"/>
    <n v="300"/>
    <x v="3"/>
    <s v="Low"/>
    <s v="Excellent"/>
  </r>
  <r>
    <s v="Spicy Tandoor"/>
    <s v="No"/>
    <s v="No"/>
    <n v="4.0999999999999996"/>
    <n v="0"/>
    <n v="150"/>
    <x v="3"/>
    <s v="Low"/>
    <s v="Excellent"/>
  </r>
  <r>
    <s v="LSD Cafe"/>
    <s v="No"/>
    <s v="No"/>
    <n v="2.9"/>
    <n v="84"/>
    <n v="700"/>
    <x v="2"/>
    <s v="Medium"/>
    <s v="Average"/>
  </r>
  <r>
    <s v="Rolls On Wheels"/>
    <s v="No"/>
    <s v="No"/>
    <n v="3.6"/>
    <n v="299"/>
    <n v="300"/>
    <x v="3"/>
    <s v="Low"/>
    <s v="Good"/>
  </r>
  <r>
    <s v="Om Sri Vinayaka Chats"/>
    <s v="No"/>
    <s v="No"/>
    <n v="3.6"/>
    <n v="0"/>
    <n v="500"/>
    <x v="3"/>
    <s v="Medium"/>
    <s v="Good"/>
  </r>
  <r>
    <s v="Sri Guru Kottureshwara Davangere Benne Dosa"/>
    <s v="Yes"/>
    <s v="No"/>
    <n v="4.0999999999999996"/>
    <n v="558"/>
    <n v="150"/>
    <x v="3"/>
    <s v="Low"/>
    <s v="Excellent"/>
  </r>
  <r>
    <s v="Devanna Dum Biriyani Centre"/>
    <s v="Yes"/>
    <s v="No"/>
    <n v="3.6"/>
    <n v="28"/>
    <n v="300"/>
    <x v="3"/>
    <s v="Low"/>
    <s v="Good"/>
  </r>
  <r>
    <s v="Kolbeh"/>
    <s v="No"/>
    <s v="No"/>
    <n v="3.7"/>
    <n v="22"/>
    <n v="500"/>
    <x v="3"/>
    <s v="Medium"/>
    <s v="Good"/>
  </r>
  <r>
    <s v="Upahar Sagar"/>
    <s v="No"/>
    <s v="No"/>
    <n v="3.8"/>
    <n v="39"/>
    <n v="350"/>
    <x v="3"/>
    <s v="Low"/>
    <s v="Good"/>
  </r>
  <r>
    <s v="Kadalu Sea Food Restaurant"/>
    <s v="Yes"/>
    <s v="No"/>
    <n v="3.8"/>
    <n v="153"/>
    <n v="500"/>
    <x v="3"/>
    <s v="Medium"/>
    <s v="Good"/>
  </r>
  <r>
    <s v="Frozen Bottle"/>
    <s v="Yes"/>
    <s v="No"/>
    <n v="4.2"/>
    <n v="146"/>
    <n v="400"/>
    <x v="3"/>
    <s v="Low"/>
    <s v="Excellent"/>
  </r>
  <r>
    <s v="Parimala Sweets"/>
    <s v="No"/>
    <s v="No"/>
    <n v="3.5"/>
    <n v="14"/>
    <n v="200"/>
    <x v="3"/>
    <s v="Low"/>
    <s v="Good"/>
  </r>
  <r>
    <s v="Vaishali Deluxe"/>
    <s v="No"/>
    <s v="No"/>
    <n v="3.8"/>
    <n v="42"/>
    <n v="700"/>
    <x v="3"/>
    <s v="Medium"/>
    <s v="Good"/>
  </r>
  <r>
    <s v="Chill Out"/>
    <s v="No"/>
    <s v="No"/>
    <n v="3.8"/>
    <n v="0"/>
    <n v="100"/>
    <x v="3"/>
    <s v="Low"/>
    <s v="Good"/>
  </r>
  <r>
    <s v="The Big O Bakes"/>
    <s v="No"/>
    <s v="No"/>
    <n v="4"/>
    <n v="66"/>
    <n v="300"/>
    <x v="3"/>
    <s v="Low"/>
    <s v="Excellent"/>
  </r>
  <r>
    <s v="Meghana Foods"/>
    <s v="Yes"/>
    <s v="No"/>
    <n v="4.4000000000000004"/>
    <n v="4401"/>
    <n v="600"/>
    <x v="3"/>
    <s v="Medium"/>
    <s v="Excellent"/>
  </r>
  <r>
    <s v="Krishna Sagar"/>
    <s v="No"/>
    <s v="No"/>
    <n v="3.5"/>
    <n v="31"/>
    <n v="200"/>
    <x v="3"/>
    <s v="Low"/>
    <s v="Good"/>
  </r>
  <r>
    <s v="Dessert Rose"/>
    <s v="No"/>
    <s v="No"/>
    <n v="3.5"/>
    <n v="7"/>
    <n v="500"/>
    <x v="3"/>
    <s v="Medium"/>
    <s v="Good"/>
  </r>
  <r>
    <s v="Chickpet Donne Biryani House"/>
    <s v="No"/>
    <s v="No"/>
    <n v="3.7"/>
    <n v="21"/>
    <n v="250"/>
    <x v="3"/>
    <s v="Low"/>
    <s v="Good"/>
  </r>
  <r>
    <s v="Me And My Cake"/>
    <s v="No"/>
    <s v="No"/>
    <n v="3.7"/>
    <n v="0"/>
    <n v="500"/>
    <x v="3"/>
    <s v="Medium"/>
    <s v="Good"/>
  </r>
  <r>
    <s v="Sunsadm"/>
    <s v="No"/>
    <s v="No"/>
    <n v="3.7"/>
    <n v="0"/>
    <n v="400"/>
    <x v="3"/>
    <s v="Low"/>
    <s v="Good"/>
  </r>
  <r>
    <s v="Annapooraneshwari Mess"/>
    <s v="No"/>
    <s v="No"/>
    <n v="3.7"/>
    <n v="0"/>
    <n v="200"/>
    <x v="3"/>
    <s v="Low"/>
    <s v="Good"/>
  </r>
  <r>
    <s v="Thanco's Natural Ice Creams"/>
    <s v="No"/>
    <s v="No"/>
    <n v="3.2"/>
    <n v="9"/>
    <n v="300"/>
    <x v="3"/>
    <s v="Low"/>
    <s v="Good"/>
  </r>
  <r>
    <s v="Nandhini Deluxe"/>
    <s v="No"/>
    <s v="No"/>
    <n v="2.6"/>
    <n v="283"/>
    <n v="600"/>
    <x v="3"/>
    <s v="Medium"/>
    <s v="Average"/>
  </r>
  <r>
    <s v="Vi Ra's Bar and Restaurant"/>
    <s v="No"/>
    <s v="No"/>
    <n v="3.3"/>
    <n v="62"/>
    <n v="800"/>
    <x v="3"/>
    <s v="Medium"/>
    <s v="Good"/>
  </r>
  <r>
    <s v="Kaggis"/>
    <s v="No"/>
    <s v="No"/>
    <n v="3.8"/>
    <n v="64"/>
    <n v="250"/>
    <x v="3"/>
    <s v="Low"/>
    <s v="Good"/>
  </r>
  <r>
    <s v="Ayda Persian Kitchen"/>
    <s v="No"/>
    <s v="No"/>
    <n v="3.7"/>
    <n v="39"/>
    <n v="950"/>
    <x v="3"/>
    <s v="Medium"/>
    <s v="Good"/>
  </r>
  <r>
    <s v="Chatar Patar"/>
    <s v="No"/>
    <s v="No"/>
    <n v="3.7"/>
    <n v="65"/>
    <n v="300"/>
    <x v="3"/>
    <s v="Low"/>
    <s v="Good"/>
  </r>
  <r>
    <s v="Polar Bear"/>
    <s v="Yes"/>
    <s v="No"/>
    <n v="3.8"/>
    <n v="71"/>
    <n v="400"/>
    <x v="3"/>
    <s v="Low"/>
    <s v="Good"/>
  </r>
  <r>
    <s v="Kidambi's Kitchen"/>
    <s v="No"/>
    <s v="No"/>
    <n v="3.5"/>
    <n v="52"/>
    <n v="300"/>
    <x v="3"/>
    <s v="Low"/>
    <s v="Good"/>
  </r>
  <r>
    <s v="Mane Thindi"/>
    <s v="No"/>
    <s v="No"/>
    <n v="3.7"/>
    <n v="130"/>
    <n v="200"/>
    <x v="3"/>
    <s v="Low"/>
    <s v="Good"/>
  </r>
  <r>
    <s v="Kotian Karavali Restaurant"/>
    <s v="No"/>
    <s v="No"/>
    <n v="3.5"/>
    <n v="10"/>
    <n v="300"/>
    <x v="3"/>
    <s v="Low"/>
    <s v="Good"/>
  </r>
  <r>
    <s v="Floured-Baked With Love"/>
    <s v="No"/>
    <s v="No"/>
    <n v="3.8"/>
    <n v="45"/>
    <n v="400"/>
    <x v="3"/>
    <s v="Low"/>
    <s v="Good"/>
  </r>
  <r>
    <s v="CAFE NOVA"/>
    <s v="No"/>
    <s v="No"/>
    <n v="3.2"/>
    <n v="11"/>
    <n v="600"/>
    <x v="3"/>
    <s v="Medium"/>
    <s v="Good"/>
  </r>
  <r>
    <s v="Cakes &amp; Slices"/>
    <s v="No"/>
    <s v="No"/>
    <n v="3.5"/>
    <n v="13"/>
    <n v="300"/>
    <x v="3"/>
    <s v="Low"/>
    <s v="Good"/>
  </r>
  <r>
    <s v="Spice 9"/>
    <s v="No"/>
    <s v="No"/>
    <n v="3.4"/>
    <n v="8"/>
    <n v="300"/>
    <x v="3"/>
    <s v="Low"/>
    <s v="Good"/>
  </r>
  <r>
    <s v="Coffee Shopee"/>
    <s v="No"/>
    <s v="No"/>
    <n v="3.4"/>
    <n v="0"/>
    <n v="250"/>
    <x v="3"/>
    <s v="Low"/>
    <s v="Good"/>
  </r>
  <r>
    <s v="Naveen Kabab &amp; Biriyani Mane"/>
    <s v="No"/>
    <s v="No"/>
    <n v="3.2"/>
    <n v="9"/>
    <n v="300"/>
    <x v="3"/>
    <s v="Low"/>
    <s v="Good"/>
  </r>
  <r>
    <s v="Katriguppe Donne Biryani"/>
    <s v="No"/>
    <s v="No"/>
    <n v="3.2"/>
    <n v="4"/>
    <n v="300"/>
    <x v="3"/>
    <s v="Low"/>
    <s v="Good"/>
  </r>
  <r>
    <s v="Hari Super Sandwich"/>
    <s v="No"/>
    <s v="No"/>
    <n v="3.2"/>
    <n v="0"/>
    <n v="200"/>
    <x v="3"/>
    <s v="Low"/>
    <s v="Good"/>
  </r>
  <r>
    <s v="Atithi Point Ande Ka Funda"/>
    <s v="No"/>
    <s v="No"/>
    <n v="3.1"/>
    <n v="29"/>
    <n v="150"/>
    <x v="3"/>
    <s v="Low"/>
    <s v="Good"/>
  </r>
  <r>
    <s v="Just Bake"/>
    <s v="No"/>
    <s v="No"/>
    <n v="3.4"/>
    <n v="8"/>
    <n v="400"/>
    <x v="3"/>
    <s v="Low"/>
    <s v="Good"/>
  </r>
  <r>
    <s v="Dharwad Line Bazaar Mishra Pedha"/>
    <s v="No"/>
    <s v="No"/>
    <n v="3.4"/>
    <n v="0"/>
    <n v="150"/>
    <x v="3"/>
    <s v="Low"/>
    <s v="Good"/>
  </r>
  <r>
    <s v="Cake Bite"/>
    <s v="No"/>
    <s v="No"/>
    <n v="3.4"/>
    <n v="0"/>
    <n v="300"/>
    <x v="3"/>
    <s v="Low"/>
    <s v="Good"/>
  </r>
  <r>
    <s v="Aarush's Food Plaza"/>
    <s v="No"/>
    <s v="No"/>
    <n v="3.4"/>
    <n v="0"/>
    <n v="200"/>
    <x v="3"/>
    <s v="Low"/>
    <s v="Good"/>
  </r>
  <r>
    <s v="Wood Stove"/>
    <s v="No"/>
    <s v="No"/>
    <n v="3.4"/>
    <n v="0"/>
    <n v="150"/>
    <x v="3"/>
    <s v="Low"/>
    <s v="Good"/>
  </r>
  <r>
    <s v="Kulfi &amp; More"/>
    <s v="No"/>
    <s v="No"/>
    <n v="3.4"/>
    <n v="0"/>
    <n v="150"/>
    <x v="3"/>
    <s v="Low"/>
    <s v="Good"/>
  </r>
  <r>
    <s v="Kannadigas Karavali"/>
    <s v="No"/>
    <s v="No"/>
    <n v="3.4"/>
    <n v="0"/>
    <n v="250"/>
    <x v="3"/>
    <s v="Low"/>
    <s v="Good"/>
  </r>
  <r>
    <s v="K27 - The Pub"/>
    <s v="No"/>
    <s v="No"/>
    <n v="3.1"/>
    <n v="30"/>
    <n v="900"/>
    <x v="3"/>
    <s v="Medium"/>
    <s v="Good"/>
  </r>
  <r>
    <s v="Bengaluru Coffee House"/>
    <s v="Yes"/>
    <s v="No"/>
    <n v="4.0999999999999996"/>
    <n v="201"/>
    <n v="300"/>
    <x v="3"/>
    <s v="Low"/>
    <s v="Excellent"/>
  </r>
  <r>
    <s v="New Mangalore Lunch Home"/>
    <s v="No"/>
    <s v="No"/>
    <n v="3.3"/>
    <n v="7"/>
    <n v="200"/>
    <x v="3"/>
    <s v="Low"/>
    <s v="Good"/>
  </r>
  <r>
    <s v="Coffee Bytes"/>
    <s v="No"/>
    <s v="No"/>
    <n v="3.1"/>
    <n v="6"/>
    <n v="100"/>
    <x v="3"/>
    <s v="Low"/>
    <s v="Good"/>
  </r>
  <r>
    <s v="Parjanya Chat Zone"/>
    <s v="No"/>
    <s v="No"/>
    <n v="3.3"/>
    <n v="17"/>
    <n v="200"/>
    <x v="3"/>
    <s v="Low"/>
    <s v="Good"/>
  </r>
  <r>
    <s v="Kwality Wall's Swirl's Happiness Station"/>
    <s v="No"/>
    <s v="No"/>
    <n v="2.9"/>
    <n v="25"/>
    <n v="200"/>
    <x v="3"/>
    <s v="Low"/>
    <s v="Average"/>
  </r>
  <r>
    <s v="Soms Kitchen &amp; Bakes"/>
    <s v="No"/>
    <s v="No"/>
    <n v="2.9"/>
    <n v="0"/>
    <n v="400"/>
    <x v="3"/>
    <s v="Low"/>
    <s v="Average"/>
  </r>
  <r>
    <s v="Banashankari Nati Style"/>
    <s v="No"/>
    <s v="No"/>
    <n v="2.9"/>
    <n v="0"/>
    <n v="350"/>
    <x v="3"/>
    <s v="Low"/>
    <s v="Average"/>
  </r>
  <r>
    <s v="Ruchi Maayaka"/>
    <s v="No"/>
    <s v="No"/>
    <n v="3.3"/>
    <n v="8"/>
    <n v="100"/>
    <x v="3"/>
    <s v="Low"/>
    <s v="Good"/>
  </r>
  <r>
    <s v="Mohitesh Hut Roll"/>
    <s v="No"/>
    <s v="No"/>
    <n v="3.3"/>
    <n v="0"/>
    <n v="150"/>
    <x v="3"/>
    <s v="Low"/>
    <s v="Good"/>
  </r>
  <r>
    <s v="Sri Basaveshwar Jolada Rotti Oota"/>
    <s v="No"/>
    <s v="No"/>
    <n v="3.4"/>
    <n v="0"/>
    <n v="150"/>
    <x v="3"/>
    <s v="Low"/>
    <s v="Good"/>
  </r>
  <r>
    <s v="Roll Magic Fast Food"/>
    <s v="No"/>
    <s v="No"/>
    <n v="3.4"/>
    <n v="0"/>
    <n v="200"/>
    <x v="3"/>
    <s v="Low"/>
    <s v="Good"/>
  </r>
  <r>
    <s v="Foodlieious Multi Cuisine"/>
    <s v="No"/>
    <s v="No"/>
    <n v="3.4"/>
    <n v="0"/>
    <n v="100"/>
    <x v="3"/>
    <s v="Low"/>
    <s v="Good"/>
  </r>
  <r>
    <s v="Thanishka Nati And Karavali Style"/>
    <s v="No"/>
    <s v="No"/>
    <n v="3.1"/>
    <n v="0"/>
    <n v="400"/>
    <x v="3"/>
    <s v="Low"/>
    <s v="Good"/>
  </r>
  <r>
    <s v="Swathi Cool Point"/>
    <s v="No"/>
    <s v="No"/>
    <n v="4.0999999999999996"/>
    <n v="0"/>
    <n v="200"/>
    <x v="3"/>
    <s v="Low"/>
    <s v="Excellent"/>
  </r>
  <r>
    <s v="Kaumudis Juoice"/>
    <s v="No"/>
    <s v="No"/>
    <n v="3.3"/>
    <n v="0"/>
    <n v="150"/>
    <x v="3"/>
    <s v="Low"/>
    <s v="Good"/>
  </r>
  <r>
    <s v="Amma - Manae"/>
    <s v="No"/>
    <s v="No"/>
    <n v="3.1"/>
    <n v="0"/>
    <n v="400"/>
    <x v="3"/>
    <s v="Low"/>
    <s v="Good"/>
  </r>
  <r>
    <s v="Sri Sai Tiffannies"/>
    <s v="No"/>
    <s v="No"/>
    <n v="3.3"/>
    <n v="0"/>
    <n v="150"/>
    <x v="3"/>
    <s v="Low"/>
    <s v="Good"/>
  </r>
  <r>
    <s v="Hotel Andhra Speices"/>
    <s v="No"/>
    <s v="No"/>
    <n v="2.9"/>
    <n v="0"/>
    <n v="250"/>
    <x v="3"/>
    <s v="Low"/>
    <s v="Average"/>
  </r>
  <r>
    <s v="Sri Murari Family Restaurant"/>
    <s v="No"/>
    <s v="No"/>
    <n v="2.9"/>
    <n v="0"/>
    <n v="250"/>
    <x v="3"/>
    <s v="Low"/>
    <s v="Average"/>
  </r>
  <r>
    <s v="Aramane Donne Biriyani"/>
    <s v="No"/>
    <s v="No"/>
    <n v="2.9"/>
    <n v="0"/>
    <n v="150"/>
    <x v="3"/>
    <s v="Low"/>
    <s v="Average"/>
  </r>
  <r>
    <s v="Darkolates"/>
    <s v="No"/>
    <s v="No"/>
    <n v="3.3"/>
    <n v="0"/>
    <n v="200"/>
    <x v="3"/>
    <s v="Low"/>
    <s v="Good"/>
  </r>
  <r>
    <s v="Swaada Healthy Kitchen"/>
    <s v="No"/>
    <s v="No"/>
    <n v="3.3"/>
    <n v="0"/>
    <n v="350"/>
    <x v="3"/>
    <s v="Low"/>
    <s v="Good"/>
  </r>
  <r>
    <s v="Gawdaru Mane Beriyani"/>
    <s v="No"/>
    <s v="No"/>
    <n v="3.3"/>
    <n v="0"/>
    <n v="300"/>
    <x v="3"/>
    <s v="Low"/>
    <s v="Good"/>
  </r>
  <r>
    <s v="Melting Melodies"/>
    <s v="No"/>
    <s v="No"/>
    <n v="3.3"/>
    <n v="0"/>
    <n v="100"/>
    <x v="3"/>
    <s v="Low"/>
    <s v="Good"/>
  </r>
  <r>
    <s v="New Indraprasta"/>
    <s v="No"/>
    <s v="No"/>
    <n v="3.3"/>
    <n v="0"/>
    <n v="150"/>
    <x v="3"/>
    <s v="Low"/>
    <s v="Good"/>
  </r>
  <r>
    <s v="Anna Kuteera"/>
    <s v="Yes"/>
    <s v="No"/>
    <n v="4"/>
    <n v="771"/>
    <n v="450"/>
    <x v="3"/>
    <s v="Low"/>
    <s v="Excellent"/>
  </r>
  <r>
    <s v="Darbar"/>
    <s v="No"/>
    <s v="No"/>
    <n v="3"/>
    <n v="98"/>
    <n v="800"/>
    <x v="3"/>
    <s v="Medium"/>
    <s v="Good"/>
  </r>
  <r>
    <s v="Vijayalakshmi"/>
    <s v="Yes"/>
    <s v="No"/>
    <n v="3.9"/>
    <n v="47"/>
    <n v="200"/>
    <x v="3"/>
    <s v="Low"/>
    <s v="Goo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25BEB8-60B5-4ADC-B855-445BD085404B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2:B16" firstHeaderRow="1" firstDataRow="1" firstDataCol="1"/>
  <pivotFields count="1">
    <pivotField axis="axisRow" dataField="1" showAll="0">
      <items count="4">
        <item x="1"/>
        <item x="0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nline_order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86BDD-8548-4FA7-99F2-4A545FF80D95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3:E7" firstHeaderRow="1" firstDataRow="1" firstDataCol="1"/>
  <pivotFields count="1">
    <pivotField axis="axisRow" dataField="1" showAll="0">
      <items count="4">
        <item x="1"/>
        <item x="0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ost_category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16E5AA-22E7-47F5-B3DF-858E204C0FE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8" firstHeaderRow="1" firstDataRow="1" firstDataCol="1"/>
  <pivotFields count="9"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1"/>
        <item x="3"/>
        <item x="2"/>
        <item t="default"/>
      </items>
    </pivotField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listed_type" fld="6" subtotal="count" baseField="0" baseItem="0"/>
  </dataFields>
  <chartFormats count="2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F3DEB-6147-41DB-93DF-90BF987C4A12}">
  <dimension ref="A3:E16"/>
  <sheetViews>
    <sheetView topLeftCell="A2" workbookViewId="0">
      <selection activeCell="G13" sqref="G13"/>
    </sheetView>
  </sheetViews>
  <sheetFormatPr defaultRowHeight="14.5" x14ac:dyDescent="0.35"/>
  <cols>
    <col min="1" max="1" width="12.36328125" bestFit="1" customWidth="1"/>
    <col min="2" max="2" width="19.54296875" bestFit="1" customWidth="1"/>
    <col min="4" max="4" width="12.36328125" bestFit="1" customWidth="1"/>
    <col min="5" max="5" width="13.7265625" bestFit="1" customWidth="1"/>
  </cols>
  <sheetData>
    <row r="3" spans="1:5" x14ac:dyDescent="0.35">
      <c r="A3" s="3" t="s">
        <v>169</v>
      </c>
      <c r="B3" t="s">
        <v>171</v>
      </c>
      <c r="D3" s="3" t="s">
        <v>169</v>
      </c>
      <c r="E3" t="s">
        <v>173</v>
      </c>
    </row>
    <row r="4" spans="1:5" x14ac:dyDescent="0.35">
      <c r="A4" s="4" t="s">
        <v>11</v>
      </c>
      <c r="B4" s="5">
        <v>7</v>
      </c>
      <c r="D4" s="4" t="s">
        <v>19</v>
      </c>
      <c r="E4" s="5">
        <v>91</v>
      </c>
    </row>
    <row r="5" spans="1:5" x14ac:dyDescent="0.35">
      <c r="A5" s="4" t="s">
        <v>24</v>
      </c>
      <c r="B5" s="5">
        <v>23</v>
      </c>
      <c r="D5" s="4" t="s">
        <v>12</v>
      </c>
      <c r="E5" s="5">
        <v>57</v>
      </c>
    </row>
    <row r="6" spans="1:5" x14ac:dyDescent="0.35">
      <c r="A6" s="4" t="s">
        <v>51</v>
      </c>
      <c r="B6" s="5">
        <v>110</v>
      </c>
      <c r="D6" s="4" t="s">
        <v>172</v>
      </c>
      <c r="E6" s="5"/>
    </row>
    <row r="7" spans="1:5" x14ac:dyDescent="0.35">
      <c r="A7" s="4" t="s">
        <v>26</v>
      </c>
      <c r="B7" s="5">
        <v>8</v>
      </c>
      <c r="D7" s="4" t="s">
        <v>170</v>
      </c>
      <c r="E7" s="5">
        <v>148</v>
      </c>
    </row>
    <row r="8" spans="1:5" x14ac:dyDescent="0.35">
      <c r="A8" s="4" t="s">
        <v>170</v>
      </c>
      <c r="B8" s="5">
        <v>148</v>
      </c>
    </row>
    <row r="12" spans="1:5" x14ac:dyDescent="0.35">
      <c r="A12" s="3" t="s">
        <v>169</v>
      </c>
      <c r="B12" t="s">
        <v>174</v>
      </c>
    </row>
    <row r="13" spans="1:5" x14ac:dyDescent="0.35">
      <c r="A13" s="4" t="s">
        <v>15</v>
      </c>
      <c r="B13" s="5">
        <v>90</v>
      </c>
    </row>
    <row r="14" spans="1:5" x14ac:dyDescent="0.35">
      <c r="A14" s="4" t="s">
        <v>10</v>
      </c>
      <c r="B14" s="5">
        <v>58</v>
      </c>
    </row>
    <row r="15" spans="1:5" x14ac:dyDescent="0.35">
      <c r="A15" s="4" t="s">
        <v>172</v>
      </c>
      <c r="B15" s="5"/>
    </row>
    <row r="16" spans="1:5" x14ac:dyDescent="0.35">
      <c r="A16" s="4" t="s">
        <v>170</v>
      </c>
      <c r="B16" s="5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9"/>
  <sheetViews>
    <sheetView tabSelected="1" topLeftCell="K1" zoomScale="65" workbookViewId="0">
      <selection activeCell="AI11" sqref="AI11"/>
    </sheetView>
  </sheetViews>
  <sheetFormatPr defaultRowHeight="14.5" x14ac:dyDescent="0.35"/>
  <cols>
    <col min="19" max="19" width="10.453125" bestFit="1" customWidth="1"/>
    <col min="22" max="22" width="10.453125" bestFit="1" customWidth="1"/>
    <col min="25" max="25" width="8.81640625" bestFit="1" customWidth="1"/>
  </cols>
  <sheetData>
    <row r="1" spans="1:31" ht="2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P1" s="1">
        <f>AVERAGE(D1:D149)</f>
        <v>3.633108108108106</v>
      </c>
      <c r="S1" s="1">
        <f>AVERAGE(F1:F149)</f>
        <v>418.24324324324323</v>
      </c>
      <c r="V1" s="1">
        <f>SUM(E1:E149)</f>
        <v>39192</v>
      </c>
      <c r="Y1" s="1">
        <f>COUNTA(A1:A149)</f>
        <v>149</v>
      </c>
    </row>
    <row r="2" spans="1:31" x14ac:dyDescent="0.35">
      <c r="A2" t="s">
        <v>9</v>
      </c>
      <c r="B2" t="s">
        <v>10</v>
      </c>
      <c r="C2" t="s">
        <v>10</v>
      </c>
      <c r="D2">
        <v>4.0999999999999996</v>
      </c>
      <c r="E2">
        <v>775</v>
      </c>
      <c r="F2">
        <v>800</v>
      </c>
      <c r="G2" t="s">
        <v>11</v>
      </c>
      <c r="H2" t="s">
        <v>12</v>
      </c>
      <c r="I2" t="s">
        <v>13</v>
      </c>
      <c r="O2" s="6" t="s">
        <v>165</v>
      </c>
      <c r="P2" s="6"/>
      <c r="Q2" s="6"/>
      <c r="R2" s="6" t="s">
        <v>166</v>
      </c>
      <c r="S2" s="6"/>
      <c r="T2" s="6"/>
      <c r="U2" s="6" t="s">
        <v>167</v>
      </c>
      <c r="V2" s="6"/>
      <c r="W2" s="6"/>
      <c r="X2" s="6" t="s">
        <v>168</v>
      </c>
      <c r="Y2" s="6"/>
      <c r="Z2" s="6"/>
      <c r="AA2" s="6"/>
    </row>
    <row r="3" spans="1:31" ht="26" customHeight="1" x14ac:dyDescent="0.35">
      <c r="A3" t="s">
        <v>14</v>
      </c>
      <c r="B3" t="s">
        <v>10</v>
      </c>
      <c r="C3" t="s">
        <v>15</v>
      </c>
      <c r="D3">
        <v>4.0999999999999996</v>
      </c>
      <c r="E3">
        <v>787</v>
      </c>
      <c r="F3">
        <v>800</v>
      </c>
      <c r="G3" t="s">
        <v>11</v>
      </c>
      <c r="H3" t="s">
        <v>12</v>
      </c>
      <c r="I3" t="s">
        <v>13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4.5" customHeight="1" x14ac:dyDescent="0.35">
      <c r="A4" t="s">
        <v>16</v>
      </c>
      <c r="B4" t="s">
        <v>10</v>
      </c>
      <c r="C4" t="s">
        <v>15</v>
      </c>
      <c r="D4">
        <v>3.8</v>
      </c>
      <c r="E4">
        <v>918</v>
      </c>
      <c r="F4">
        <v>800</v>
      </c>
      <c r="G4" t="s">
        <v>11</v>
      </c>
      <c r="H4" t="s">
        <v>12</v>
      </c>
      <c r="I4" t="s">
        <v>17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4.5" customHeight="1" x14ac:dyDescent="0.35">
      <c r="A5" t="s">
        <v>18</v>
      </c>
      <c r="B5" t="s">
        <v>15</v>
      </c>
      <c r="C5" t="s">
        <v>15</v>
      </c>
      <c r="D5">
        <v>3.7</v>
      </c>
      <c r="E5">
        <v>88</v>
      </c>
      <c r="F5">
        <v>300</v>
      </c>
      <c r="G5" t="s">
        <v>11</v>
      </c>
      <c r="H5" t="s">
        <v>19</v>
      </c>
      <c r="I5" t="s">
        <v>17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x14ac:dyDescent="0.35">
      <c r="A6" t="s">
        <v>20</v>
      </c>
      <c r="B6" t="s">
        <v>15</v>
      </c>
      <c r="C6" t="s">
        <v>15</v>
      </c>
      <c r="D6">
        <v>3.8</v>
      </c>
      <c r="E6">
        <v>166</v>
      </c>
      <c r="F6">
        <v>600</v>
      </c>
      <c r="G6" t="s">
        <v>11</v>
      </c>
      <c r="H6" t="s">
        <v>12</v>
      </c>
      <c r="I6" t="s">
        <v>17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35">
      <c r="A7" t="s">
        <v>21</v>
      </c>
      <c r="B7" t="s">
        <v>10</v>
      </c>
      <c r="C7" t="s">
        <v>15</v>
      </c>
      <c r="D7">
        <v>3.8</v>
      </c>
      <c r="E7">
        <v>286</v>
      </c>
      <c r="F7">
        <v>600</v>
      </c>
      <c r="G7" t="s">
        <v>11</v>
      </c>
      <c r="H7" t="s">
        <v>12</v>
      </c>
      <c r="I7" t="s">
        <v>17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35">
      <c r="A8" t="s">
        <v>22</v>
      </c>
      <c r="B8" t="s">
        <v>15</v>
      </c>
      <c r="C8" t="s">
        <v>15</v>
      </c>
      <c r="D8">
        <v>3.6</v>
      </c>
      <c r="E8">
        <v>8</v>
      </c>
      <c r="F8">
        <v>800</v>
      </c>
      <c r="G8" t="s">
        <v>11</v>
      </c>
      <c r="H8" t="s">
        <v>12</v>
      </c>
      <c r="I8" t="s">
        <v>17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35">
      <c r="A9" t="s">
        <v>23</v>
      </c>
      <c r="B9" t="s">
        <v>10</v>
      </c>
      <c r="C9" t="s">
        <v>10</v>
      </c>
      <c r="D9">
        <v>4.5999999999999996</v>
      </c>
      <c r="E9">
        <v>2556</v>
      </c>
      <c r="F9">
        <v>600</v>
      </c>
      <c r="G9" t="s">
        <v>24</v>
      </c>
      <c r="H9" t="s">
        <v>12</v>
      </c>
      <c r="I9" t="s">
        <v>13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35">
      <c r="A10" t="s">
        <v>25</v>
      </c>
      <c r="B10" t="s">
        <v>10</v>
      </c>
      <c r="C10" t="s">
        <v>15</v>
      </c>
      <c r="D10">
        <v>4</v>
      </c>
      <c r="E10">
        <v>324</v>
      </c>
      <c r="F10">
        <v>700</v>
      </c>
      <c r="G10" t="s">
        <v>26</v>
      </c>
      <c r="H10" t="s">
        <v>12</v>
      </c>
      <c r="I10" t="s">
        <v>13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35">
      <c r="A11" t="s">
        <v>27</v>
      </c>
      <c r="B11" t="s">
        <v>10</v>
      </c>
      <c r="C11" t="s">
        <v>15</v>
      </c>
      <c r="D11">
        <v>4.2</v>
      </c>
      <c r="E11">
        <v>504</v>
      </c>
      <c r="F11">
        <v>550</v>
      </c>
      <c r="G11" t="s">
        <v>24</v>
      </c>
      <c r="H11" t="s">
        <v>12</v>
      </c>
      <c r="I11" t="s">
        <v>13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35">
      <c r="A12" t="s">
        <v>28</v>
      </c>
      <c r="B12" t="s">
        <v>10</v>
      </c>
      <c r="C12" t="s">
        <v>15</v>
      </c>
      <c r="D12">
        <v>4.0999999999999996</v>
      </c>
      <c r="E12">
        <v>402</v>
      </c>
      <c r="F12">
        <v>500</v>
      </c>
      <c r="G12" t="s">
        <v>24</v>
      </c>
      <c r="H12" t="s">
        <v>12</v>
      </c>
      <c r="I12" t="s">
        <v>13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x14ac:dyDescent="0.35">
      <c r="A13" t="s">
        <v>29</v>
      </c>
      <c r="B13" t="s">
        <v>10</v>
      </c>
      <c r="C13" t="s">
        <v>10</v>
      </c>
      <c r="D13">
        <v>4.2</v>
      </c>
      <c r="E13">
        <v>150</v>
      </c>
      <c r="F13">
        <v>600</v>
      </c>
      <c r="G13" t="s">
        <v>24</v>
      </c>
      <c r="H13" t="s">
        <v>12</v>
      </c>
      <c r="I13" t="s">
        <v>13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x14ac:dyDescent="0.35">
      <c r="A14" t="s">
        <v>30</v>
      </c>
      <c r="B14" t="s">
        <v>10</v>
      </c>
      <c r="C14" t="s">
        <v>10</v>
      </c>
      <c r="D14">
        <v>4.2</v>
      </c>
      <c r="E14">
        <v>164</v>
      </c>
      <c r="F14">
        <v>500</v>
      </c>
      <c r="G14" t="s">
        <v>24</v>
      </c>
      <c r="H14" t="s">
        <v>12</v>
      </c>
      <c r="I14" t="s">
        <v>13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x14ac:dyDescent="0.35">
      <c r="A15" t="s">
        <v>31</v>
      </c>
      <c r="B15" t="s">
        <v>15</v>
      </c>
      <c r="C15" t="s">
        <v>15</v>
      </c>
      <c r="D15">
        <v>4</v>
      </c>
      <c r="E15">
        <v>424</v>
      </c>
      <c r="F15">
        <v>450</v>
      </c>
      <c r="G15" t="s">
        <v>24</v>
      </c>
      <c r="H15" t="s">
        <v>19</v>
      </c>
      <c r="I15" t="s">
        <v>13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x14ac:dyDescent="0.35">
      <c r="A16" t="s">
        <v>16</v>
      </c>
      <c r="B16" t="s">
        <v>10</v>
      </c>
      <c r="C16" t="s">
        <v>15</v>
      </c>
      <c r="D16">
        <v>3.8</v>
      </c>
      <c r="E16">
        <v>918</v>
      </c>
      <c r="F16">
        <v>800</v>
      </c>
      <c r="G16" t="s">
        <v>24</v>
      </c>
      <c r="H16" t="s">
        <v>12</v>
      </c>
      <c r="I16" t="s">
        <v>17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x14ac:dyDescent="0.35">
      <c r="A17" t="s">
        <v>32</v>
      </c>
      <c r="B17" t="s">
        <v>10</v>
      </c>
      <c r="C17" t="s">
        <v>15</v>
      </c>
      <c r="D17">
        <v>3.8</v>
      </c>
      <c r="E17">
        <v>90</v>
      </c>
      <c r="F17">
        <v>650</v>
      </c>
      <c r="G17" t="s">
        <v>24</v>
      </c>
      <c r="H17" t="s">
        <v>12</v>
      </c>
      <c r="I17" t="s">
        <v>17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35">
      <c r="A18" t="s">
        <v>33</v>
      </c>
      <c r="B18" t="s">
        <v>10</v>
      </c>
      <c r="C18" t="s">
        <v>15</v>
      </c>
      <c r="D18">
        <v>3.9</v>
      </c>
      <c r="E18">
        <v>133</v>
      </c>
      <c r="F18">
        <v>800</v>
      </c>
      <c r="G18" t="s">
        <v>24</v>
      </c>
      <c r="H18" t="s">
        <v>12</v>
      </c>
      <c r="I18" t="s">
        <v>17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x14ac:dyDescent="0.35">
      <c r="A19" t="s">
        <v>34</v>
      </c>
      <c r="B19" t="s">
        <v>10</v>
      </c>
      <c r="C19" t="s">
        <v>15</v>
      </c>
      <c r="D19">
        <v>3.8</v>
      </c>
      <c r="E19">
        <v>144</v>
      </c>
      <c r="F19">
        <v>700</v>
      </c>
      <c r="G19" t="s">
        <v>24</v>
      </c>
      <c r="H19" t="s">
        <v>12</v>
      </c>
      <c r="I19" t="s">
        <v>17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x14ac:dyDescent="0.35">
      <c r="A20" t="s">
        <v>35</v>
      </c>
      <c r="B20" t="s">
        <v>15</v>
      </c>
      <c r="C20" t="s">
        <v>15</v>
      </c>
      <c r="D20">
        <v>3.9</v>
      </c>
      <c r="E20">
        <v>93</v>
      </c>
      <c r="F20">
        <v>300</v>
      </c>
      <c r="G20" t="s">
        <v>24</v>
      </c>
      <c r="H20" t="s">
        <v>19</v>
      </c>
      <c r="I20" t="s">
        <v>17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x14ac:dyDescent="0.35">
      <c r="A21" t="s">
        <v>36</v>
      </c>
      <c r="B21" t="s">
        <v>10</v>
      </c>
      <c r="C21" t="s">
        <v>15</v>
      </c>
      <c r="D21">
        <v>3.1</v>
      </c>
      <c r="E21">
        <v>13</v>
      </c>
      <c r="F21">
        <v>400</v>
      </c>
      <c r="G21" t="s">
        <v>24</v>
      </c>
      <c r="H21" t="s">
        <v>19</v>
      </c>
      <c r="I21" t="s">
        <v>17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x14ac:dyDescent="0.35">
      <c r="A22" t="s">
        <v>37</v>
      </c>
      <c r="B22" t="s">
        <v>10</v>
      </c>
      <c r="C22" t="s">
        <v>15</v>
      </c>
      <c r="D22">
        <v>3</v>
      </c>
      <c r="E22">
        <v>62</v>
      </c>
      <c r="F22">
        <v>400</v>
      </c>
      <c r="G22" t="s">
        <v>24</v>
      </c>
      <c r="H22" t="s">
        <v>19</v>
      </c>
      <c r="I22" t="s">
        <v>17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x14ac:dyDescent="0.35">
      <c r="A23" t="s">
        <v>38</v>
      </c>
      <c r="B23" t="s">
        <v>10</v>
      </c>
      <c r="C23" t="s">
        <v>15</v>
      </c>
      <c r="D23">
        <v>3.7</v>
      </c>
      <c r="E23">
        <v>180</v>
      </c>
      <c r="F23">
        <v>500</v>
      </c>
      <c r="G23" t="s">
        <v>24</v>
      </c>
      <c r="H23" t="s">
        <v>12</v>
      </c>
      <c r="I23" t="s">
        <v>17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x14ac:dyDescent="0.35">
      <c r="A24" t="s">
        <v>39</v>
      </c>
      <c r="B24" t="s">
        <v>15</v>
      </c>
      <c r="C24" t="s">
        <v>15</v>
      </c>
      <c r="D24">
        <v>3.6</v>
      </c>
      <c r="E24">
        <v>28</v>
      </c>
      <c r="F24">
        <v>900</v>
      </c>
      <c r="G24" t="s">
        <v>24</v>
      </c>
      <c r="H24" t="s">
        <v>12</v>
      </c>
      <c r="I24" t="s">
        <v>17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x14ac:dyDescent="0.35">
      <c r="A25" t="s">
        <v>40</v>
      </c>
      <c r="B25" t="s">
        <v>10</v>
      </c>
      <c r="C25" t="s">
        <v>15</v>
      </c>
      <c r="D25">
        <v>3.6</v>
      </c>
      <c r="E25">
        <v>62</v>
      </c>
      <c r="F25">
        <v>600</v>
      </c>
      <c r="G25" t="s">
        <v>24</v>
      </c>
      <c r="H25" t="s">
        <v>12</v>
      </c>
      <c r="I25" t="s">
        <v>17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x14ac:dyDescent="0.35">
      <c r="A26" t="s">
        <v>41</v>
      </c>
      <c r="B26" t="s">
        <v>15</v>
      </c>
      <c r="C26" t="s">
        <v>15</v>
      </c>
      <c r="D26">
        <v>3.7</v>
      </c>
      <c r="E26">
        <v>31</v>
      </c>
      <c r="F26">
        <v>300</v>
      </c>
      <c r="G26" t="s">
        <v>24</v>
      </c>
      <c r="H26" t="s">
        <v>19</v>
      </c>
      <c r="I26" t="s">
        <v>17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x14ac:dyDescent="0.35">
      <c r="A27" t="s">
        <v>42</v>
      </c>
      <c r="B27" t="s">
        <v>15</v>
      </c>
      <c r="C27" t="s">
        <v>15</v>
      </c>
      <c r="D27">
        <v>3.2</v>
      </c>
      <c r="E27">
        <v>11</v>
      </c>
      <c r="F27">
        <v>600</v>
      </c>
      <c r="G27" t="s">
        <v>24</v>
      </c>
      <c r="H27" t="s">
        <v>12</v>
      </c>
      <c r="I27" t="s">
        <v>17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x14ac:dyDescent="0.35">
      <c r="A28" t="s">
        <v>43</v>
      </c>
      <c r="B28" t="s">
        <v>10</v>
      </c>
      <c r="C28" t="s">
        <v>15</v>
      </c>
      <c r="D28">
        <v>3.8</v>
      </c>
      <c r="E28">
        <v>75</v>
      </c>
      <c r="F28">
        <v>200</v>
      </c>
      <c r="G28" t="s">
        <v>24</v>
      </c>
      <c r="H28" t="s">
        <v>19</v>
      </c>
      <c r="I28" t="s">
        <v>17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x14ac:dyDescent="0.35">
      <c r="A29" t="s">
        <v>44</v>
      </c>
      <c r="B29" t="s">
        <v>15</v>
      </c>
      <c r="C29" t="s">
        <v>15</v>
      </c>
      <c r="D29">
        <v>3.3</v>
      </c>
      <c r="E29">
        <v>4</v>
      </c>
      <c r="F29">
        <v>500</v>
      </c>
      <c r="G29" t="s">
        <v>24</v>
      </c>
      <c r="H29" t="s">
        <v>12</v>
      </c>
      <c r="I29" t="s">
        <v>17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x14ac:dyDescent="0.35">
      <c r="A30" t="s">
        <v>45</v>
      </c>
      <c r="B30" t="s">
        <v>15</v>
      </c>
      <c r="C30" t="s">
        <v>15</v>
      </c>
      <c r="D30">
        <v>3.3</v>
      </c>
      <c r="E30">
        <v>23</v>
      </c>
      <c r="F30">
        <v>550</v>
      </c>
      <c r="G30" t="s">
        <v>24</v>
      </c>
      <c r="H30" t="s">
        <v>12</v>
      </c>
      <c r="I30" t="s">
        <v>17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x14ac:dyDescent="0.35">
      <c r="A31" t="s">
        <v>46</v>
      </c>
      <c r="B31" t="s">
        <v>15</v>
      </c>
      <c r="C31" t="s">
        <v>15</v>
      </c>
      <c r="D31">
        <v>3.8</v>
      </c>
      <c r="E31">
        <v>148</v>
      </c>
      <c r="F31">
        <v>550</v>
      </c>
      <c r="G31" t="s">
        <v>24</v>
      </c>
      <c r="H31" t="s">
        <v>12</v>
      </c>
      <c r="I31" t="s">
        <v>17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x14ac:dyDescent="0.35">
      <c r="A32" t="s">
        <v>47</v>
      </c>
      <c r="B32" t="s">
        <v>10</v>
      </c>
      <c r="C32" t="s">
        <v>15</v>
      </c>
      <c r="D32">
        <v>4</v>
      </c>
      <c r="E32">
        <v>219</v>
      </c>
      <c r="F32">
        <v>600</v>
      </c>
      <c r="G32" t="s">
        <v>24</v>
      </c>
      <c r="H32" t="s">
        <v>12</v>
      </c>
      <c r="I32" t="s">
        <v>13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x14ac:dyDescent="0.35">
      <c r="A33" t="s">
        <v>48</v>
      </c>
      <c r="B33" t="s">
        <v>10</v>
      </c>
      <c r="C33" t="s">
        <v>15</v>
      </c>
      <c r="D33">
        <v>2.8</v>
      </c>
      <c r="E33">
        <v>506</v>
      </c>
      <c r="F33">
        <v>500</v>
      </c>
      <c r="G33" t="s">
        <v>26</v>
      </c>
      <c r="H33" t="s">
        <v>12</v>
      </c>
      <c r="I33" t="s">
        <v>49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x14ac:dyDescent="0.35">
      <c r="A34" t="s">
        <v>50</v>
      </c>
      <c r="B34" t="s">
        <v>10</v>
      </c>
      <c r="C34" t="s">
        <v>15</v>
      </c>
      <c r="D34">
        <v>3.9</v>
      </c>
      <c r="E34">
        <v>35</v>
      </c>
      <c r="F34">
        <v>500</v>
      </c>
      <c r="G34" t="s">
        <v>51</v>
      </c>
      <c r="H34" t="s">
        <v>12</v>
      </c>
      <c r="I34" t="s">
        <v>17</v>
      </c>
    </row>
    <row r="35" spans="1:31" x14ac:dyDescent="0.35">
      <c r="A35" t="s">
        <v>52</v>
      </c>
      <c r="B35" t="s">
        <v>10</v>
      </c>
      <c r="C35" t="s">
        <v>15</v>
      </c>
      <c r="D35">
        <v>3.9</v>
      </c>
      <c r="E35">
        <v>172</v>
      </c>
      <c r="F35">
        <v>750</v>
      </c>
      <c r="G35" t="s">
        <v>51</v>
      </c>
      <c r="H35" t="s">
        <v>12</v>
      </c>
      <c r="I35" t="s">
        <v>17</v>
      </c>
    </row>
    <row r="36" spans="1:31" x14ac:dyDescent="0.35">
      <c r="A36" t="s">
        <v>53</v>
      </c>
      <c r="B36" t="s">
        <v>10</v>
      </c>
      <c r="C36" t="s">
        <v>15</v>
      </c>
      <c r="D36">
        <v>4.2</v>
      </c>
      <c r="E36">
        <v>415</v>
      </c>
      <c r="F36">
        <v>500</v>
      </c>
      <c r="G36" t="s">
        <v>26</v>
      </c>
      <c r="H36" t="s">
        <v>12</v>
      </c>
      <c r="I36" t="s">
        <v>13</v>
      </c>
    </row>
    <row r="37" spans="1:31" x14ac:dyDescent="0.35">
      <c r="A37" t="s">
        <v>54</v>
      </c>
      <c r="B37" t="s">
        <v>10</v>
      </c>
      <c r="C37" t="s">
        <v>15</v>
      </c>
      <c r="D37">
        <v>3.9</v>
      </c>
      <c r="E37">
        <v>230</v>
      </c>
      <c r="F37">
        <v>650</v>
      </c>
      <c r="G37" t="s">
        <v>51</v>
      </c>
      <c r="H37" t="s">
        <v>12</v>
      </c>
      <c r="I37" t="s">
        <v>17</v>
      </c>
    </row>
    <row r="38" spans="1:31" x14ac:dyDescent="0.35">
      <c r="A38" t="s">
        <v>55</v>
      </c>
      <c r="B38" t="s">
        <v>10</v>
      </c>
      <c r="C38" t="s">
        <v>15</v>
      </c>
      <c r="D38">
        <v>2.8</v>
      </c>
      <c r="E38">
        <v>91</v>
      </c>
      <c r="F38">
        <v>400</v>
      </c>
      <c r="G38" t="s">
        <v>51</v>
      </c>
      <c r="H38" t="s">
        <v>19</v>
      </c>
      <c r="I38" t="s">
        <v>49</v>
      </c>
    </row>
    <row r="39" spans="1:31" x14ac:dyDescent="0.35">
      <c r="A39" t="s">
        <v>56</v>
      </c>
      <c r="B39" t="s">
        <v>10</v>
      </c>
      <c r="C39" t="s">
        <v>15</v>
      </c>
      <c r="D39">
        <v>4.2</v>
      </c>
      <c r="E39">
        <v>1647</v>
      </c>
      <c r="F39">
        <v>600</v>
      </c>
      <c r="G39" t="s">
        <v>51</v>
      </c>
      <c r="H39" t="s">
        <v>12</v>
      </c>
      <c r="I39" t="s">
        <v>13</v>
      </c>
    </row>
    <row r="40" spans="1:31" x14ac:dyDescent="0.35">
      <c r="A40" t="s">
        <v>57</v>
      </c>
      <c r="B40" t="s">
        <v>10</v>
      </c>
      <c r="C40" t="s">
        <v>15</v>
      </c>
      <c r="D40">
        <v>4.4000000000000004</v>
      </c>
      <c r="E40">
        <v>4884</v>
      </c>
      <c r="F40">
        <v>750</v>
      </c>
      <c r="G40" t="s">
        <v>26</v>
      </c>
      <c r="H40" t="s">
        <v>12</v>
      </c>
      <c r="I40" t="s">
        <v>13</v>
      </c>
    </row>
    <row r="41" spans="1:31" x14ac:dyDescent="0.35">
      <c r="A41" t="s">
        <v>58</v>
      </c>
      <c r="B41" t="s">
        <v>10</v>
      </c>
      <c r="C41" t="s">
        <v>15</v>
      </c>
      <c r="D41">
        <v>4</v>
      </c>
      <c r="E41">
        <v>17</v>
      </c>
      <c r="F41">
        <v>150</v>
      </c>
      <c r="G41" t="s">
        <v>51</v>
      </c>
      <c r="H41" t="s">
        <v>19</v>
      </c>
      <c r="I41" t="s">
        <v>13</v>
      </c>
    </row>
    <row r="42" spans="1:31" x14ac:dyDescent="0.35">
      <c r="A42" t="s">
        <v>59</v>
      </c>
      <c r="B42" t="s">
        <v>10</v>
      </c>
      <c r="C42" t="s">
        <v>15</v>
      </c>
      <c r="D42">
        <v>3.8</v>
      </c>
      <c r="E42">
        <v>133</v>
      </c>
      <c r="F42">
        <v>200</v>
      </c>
      <c r="G42" t="s">
        <v>51</v>
      </c>
      <c r="H42" t="s">
        <v>19</v>
      </c>
      <c r="I42" t="s">
        <v>17</v>
      </c>
    </row>
    <row r="43" spans="1:31" x14ac:dyDescent="0.35">
      <c r="A43" t="s">
        <v>60</v>
      </c>
      <c r="B43" t="s">
        <v>15</v>
      </c>
      <c r="C43" t="s">
        <v>15</v>
      </c>
      <c r="D43">
        <v>3.9</v>
      </c>
      <c r="E43">
        <v>28</v>
      </c>
      <c r="F43">
        <v>300</v>
      </c>
      <c r="G43" t="s">
        <v>51</v>
      </c>
      <c r="H43" t="s">
        <v>19</v>
      </c>
      <c r="I43" t="s">
        <v>17</v>
      </c>
    </row>
    <row r="44" spans="1:31" x14ac:dyDescent="0.35">
      <c r="A44" t="s">
        <v>61</v>
      </c>
      <c r="B44" t="s">
        <v>10</v>
      </c>
      <c r="C44" t="s">
        <v>15</v>
      </c>
      <c r="D44">
        <v>3.9</v>
      </c>
      <c r="E44">
        <v>286</v>
      </c>
      <c r="F44">
        <v>500</v>
      </c>
      <c r="G44" t="s">
        <v>51</v>
      </c>
      <c r="H44" t="s">
        <v>12</v>
      </c>
      <c r="I44" t="s">
        <v>17</v>
      </c>
    </row>
    <row r="45" spans="1:31" x14ac:dyDescent="0.35">
      <c r="A45" t="s">
        <v>62</v>
      </c>
      <c r="B45" t="s">
        <v>10</v>
      </c>
      <c r="C45" t="s">
        <v>15</v>
      </c>
      <c r="D45">
        <v>3.9</v>
      </c>
      <c r="E45">
        <v>540</v>
      </c>
      <c r="F45">
        <v>800</v>
      </c>
      <c r="G45" t="s">
        <v>51</v>
      </c>
      <c r="H45" t="s">
        <v>12</v>
      </c>
      <c r="I45" t="s">
        <v>17</v>
      </c>
    </row>
    <row r="46" spans="1:31" x14ac:dyDescent="0.35">
      <c r="A46" t="s">
        <v>23</v>
      </c>
      <c r="B46" t="s">
        <v>10</v>
      </c>
      <c r="C46" t="s">
        <v>10</v>
      </c>
      <c r="D46">
        <v>4.5999999999999996</v>
      </c>
      <c r="E46">
        <v>2556</v>
      </c>
      <c r="F46">
        <v>600</v>
      </c>
      <c r="G46" t="s">
        <v>26</v>
      </c>
      <c r="H46" t="s">
        <v>12</v>
      </c>
      <c r="I46" t="s">
        <v>13</v>
      </c>
    </row>
    <row r="47" spans="1:31" x14ac:dyDescent="0.35">
      <c r="A47" t="s">
        <v>63</v>
      </c>
      <c r="B47" t="s">
        <v>15</v>
      </c>
      <c r="C47" t="s">
        <v>15</v>
      </c>
      <c r="D47">
        <v>3.8</v>
      </c>
      <c r="E47">
        <v>36</v>
      </c>
      <c r="F47">
        <v>400</v>
      </c>
      <c r="G47" t="s">
        <v>51</v>
      </c>
      <c r="H47" t="s">
        <v>19</v>
      </c>
      <c r="I47" t="s">
        <v>17</v>
      </c>
    </row>
    <row r="48" spans="1:31" x14ac:dyDescent="0.35">
      <c r="A48" t="s">
        <v>64</v>
      </c>
      <c r="B48" t="s">
        <v>10</v>
      </c>
      <c r="C48" t="s">
        <v>15</v>
      </c>
      <c r="D48">
        <v>3.6</v>
      </c>
      <c r="E48">
        <v>244</v>
      </c>
      <c r="F48">
        <v>300</v>
      </c>
      <c r="G48" t="s">
        <v>51</v>
      </c>
      <c r="H48" t="s">
        <v>19</v>
      </c>
      <c r="I48" t="s">
        <v>17</v>
      </c>
    </row>
    <row r="49" spans="1:9" x14ac:dyDescent="0.35">
      <c r="A49" t="s">
        <v>65</v>
      </c>
      <c r="B49" t="s">
        <v>10</v>
      </c>
      <c r="C49" t="s">
        <v>15</v>
      </c>
      <c r="D49">
        <v>4</v>
      </c>
      <c r="E49">
        <v>804</v>
      </c>
      <c r="F49">
        <v>450</v>
      </c>
      <c r="G49" t="s">
        <v>51</v>
      </c>
      <c r="H49" t="s">
        <v>19</v>
      </c>
      <c r="I49" t="s">
        <v>13</v>
      </c>
    </row>
    <row r="50" spans="1:9" x14ac:dyDescent="0.35">
      <c r="A50" t="s">
        <v>66</v>
      </c>
      <c r="B50" t="s">
        <v>10</v>
      </c>
      <c r="C50" t="s">
        <v>15</v>
      </c>
      <c r="D50">
        <v>3.7</v>
      </c>
      <c r="E50">
        <v>679</v>
      </c>
      <c r="F50">
        <v>850</v>
      </c>
      <c r="G50" t="s">
        <v>51</v>
      </c>
      <c r="H50" t="s">
        <v>12</v>
      </c>
      <c r="I50" t="s">
        <v>17</v>
      </c>
    </row>
    <row r="51" spans="1:9" x14ac:dyDescent="0.35">
      <c r="A51" t="s">
        <v>67</v>
      </c>
      <c r="B51" t="s">
        <v>10</v>
      </c>
      <c r="C51" t="s">
        <v>15</v>
      </c>
      <c r="D51">
        <v>3.1</v>
      </c>
      <c r="E51">
        <v>245</v>
      </c>
      <c r="F51">
        <v>300</v>
      </c>
      <c r="G51" t="s">
        <v>51</v>
      </c>
      <c r="H51" t="s">
        <v>19</v>
      </c>
      <c r="I51" t="s">
        <v>17</v>
      </c>
    </row>
    <row r="52" spans="1:9" x14ac:dyDescent="0.35">
      <c r="A52" t="s">
        <v>68</v>
      </c>
      <c r="B52" t="s">
        <v>15</v>
      </c>
      <c r="C52" t="s">
        <v>15</v>
      </c>
      <c r="D52">
        <v>3.7</v>
      </c>
      <c r="E52">
        <v>21</v>
      </c>
      <c r="F52">
        <v>450</v>
      </c>
      <c r="G52" t="s">
        <v>51</v>
      </c>
      <c r="H52" t="s">
        <v>19</v>
      </c>
      <c r="I52" t="s">
        <v>17</v>
      </c>
    </row>
    <row r="53" spans="1:9" x14ac:dyDescent="0.35">
      <c r="A53" t="s">
        <v>69</v>
      </c>
      <c r="B53" t="s">
        <v>10</v>
      </c>
      <c r="C53" t="s">
        <v>15</v>
      </c>
      <c r="D53">
        <v>4.0999999999999996</v>
      </c>
      <c r="E53">
        <v>28</v>
      </c>
      <c r="F53">
        <v>150</v>
      </c>
      <c r="G53" t="s">
        <v>51</v>
      </c>
      <c r="H53" t="s">
        <v>19</v>
      </c>
      <c r="I53" t="s">
        <v>13</v>
      </c>
    </row>
    <row r="54" spans="1:9" x14ac:dyDescent="0.35">
      <c r="A54" t="s">
        <v>70</v>
      </c>
      <c r="B54" t="s">
        <v>15</v>
      </c>
      <c r="C54" t="s">
        <v>15</v>
      </c>
      <c r="D54">
        <v>4.3</v>
      </c>
      <c r="E54">
        <v>345</v>
      </c>
      <c r="F54">
        <v>400</v>
      </c>
      <c r="G54" t="s">
        <v>51</v>
      </c>
      <c r="H54" t="s">
        <v>19</v>
      </c>
      <c r="I54" t="s">
        <v>13</v>
      </c>
    </row>
    <row r="55" spans="1:9" x14ac:dyDescent="0.35">
      <c r="A55" t="s">
        <v>71</v>
      </c>
      <c r="B55" t="s">
        <v>10</v>
      </c>
      <c r="C55" t="s">
        <v>15</v>
      </c>
      <c r="D55">
        <v>4</v>
      </c>
      <c r="E55">
        <v>618</v>
      </c>
      <c r="F55">
        <v>750</v>
      </c>
      <c r="G55" t="s">
        <v>51</v>
      </c>
      <c r="H55" t="s">
        <v>12</v>
      </c>
      <c r="I55" t="s">
        <v>13</v>
      </c>
    </row>
    <row r="56" spans="1:9" x14ac:dyDescent="0.35">
      <c r="A56" t="s">
        <v>72</v>
      </c>
      <c r="B56" t="s">
        <v>15</v>
      </c>
      <c r="C56" t="s">
        <v>15</v>
      </c>
      <c r="D56">
        <v>4</v>
      </c>
      <c r="E56">
        <v>1047</v>
      </c>
      <c r="F56">
        <v>450</v>
      </c>
      <c r="G56" t="s">
        <v>51</v>
      </c>
      <c r="H56" t="s">
        <v>19</v>
      </c>
      <c r="I56" t="s">
        <v>13</v>
      </c>
    </row>
    <row r="57" spans="1:9" x14ac:dyDescent="0.35">
      <c r="A57" t="s">
        <v>73</v>
      </c>
      <c r="B57" t="s">
        <v>10</v>
      </c>
      <c r="C57" t="s">
        <v>15</v>
      </c>
      <c r="D57">
        <v>3.9</v>
      </c>
      <c r="E57">
        <v>627</v>
      </c>
      <c r="F57">
        <v>450</v>
      </c>
      <c r="G57" t="s">
        <v>51</v>
      </c>
      <c r="H57" t="s">
        <v>19</v>
      </c>
      <c r="I57" t="s">
        <v>17</v>
      </c>
    </row>
    <row r="58" spans="1:9" x14ac:dyDescent="0.35">
      <c r="A58" t="s">
        <v>74</v>
      </c>
      <c r="B58" t="s">
        <v>10</v>
      </c>
      <c r="C58" t="s">
        <v>15</v>
      </c>
      <c r="D58">
        <v>3.8</v>
      </c>
      <c r="E58">
        <v>104</v>
      </c>
      <c r="F58">
        <v>300</v>
      </c>
      <c r="G58" t="s">
        <v>51</v>
      </c>
      <c r="H58" t="s">
        <v>19</v>
      </c>
      <c r="I58" t="s">
        <v>17</v>
      </c>
    </row>
    <row r="59" spans="1:9" x14ac:dyDescent="0.35">
      <c r="A59" t="s">
        <v>75</v>
      </c>
      <c r="B59" t="s">
        <v>10</v>
      </c>
      <c r="C59" t="s">
        <v>10</v>
      </c>
      <c r="D59">
        <v>4.2</v>
      </c>
      <c r="E59">
        <v>354</v>
      </c>
      <c r="F59">
        <v>800</v>
      </c>
      <c r="G59" t="s">
        <v>26</v>
      </c>
      <c r="H59" t="s">
        <v>12</v>
      </c>
      <c r="I59" t="s">
        <v>13</v>
      </c>
    </row>
    <row r="60" spans="1:9" x14ac:dyDescent="0.35">
      <c r="A60" t="s">
        <v>76</v>
      </c>
      <c r="B60" t="s">
        <v>15</v>
      </c>
      <c r="C60" t="s">
        <v>15</v>
      </c>
      <c r="D60">
        <v>3.6</v>
      </c>
      <c r="E60">
        <v>55</v>
      </c>
      <c r="F60">
        <v>200</v>
      </c>
      <c r="G60" t="s">
        <v>51</v>
      </c>
      <c r="H60" t="s">
        <v>19</v>
      </c>
      <c r="I60" t="s">
        <v>17</v>
      </c>
    </row>
    <row r="61" spans="1:9" x14ac:dyDescent="0.35">
      <c r="A61" t="s">
        <v>77</v>
      </c>
      <c r="B61" t="s">
        <v>10</v>
      </c>
      <c r="C61" t="s">
        <v>15</v>
      </c>
      <c r="D61">
        <v>3.7</v>
      </c>
      <c r="E61">
        <v>17</v>
      </c>
      <c r="F61">
        <v>400</v>
      </c>
      <c r="G61" t="s">
        <v>51</v>
      </c>
      <c r="H61" t="s">
        <v>19</v>
      </c>
      <c r="I61" t="s">
        <v>17</v>
      </c>
    </row>
    <row r="62" spans="1:9" x14ac:dyDescent="0.35">
      <c r="A62" t="s">
        <v>78</v>
      </c>
      <c r="B62" t="s">
        <v>15</v>
      </c>
      <c r="C62" t="s">
        <v>15</v>
      </c>
      <c r="D62">
        <v>4.2</v>
      </c>
      <c r="E62">
        <v>244</v>
      </c>
      <c r="F62">
        <v>800</v>
      </c>
      <c r="G62" t="s">
        <v>26</v>
      </c>
      <c r="H62" t="s">
        <v>12</v>
      </c>
      <c r="I62" t="s">
        <v>13</v>
      </c>
    </row>
    <row r="63" spans="1:9" x14ac:dyDescent="0.35">
      <c r="A63" t="s">
        <v>79</v>
      </c>
      <c r="B63" t="s">
        <v>10</v>
      </c>
      <c r="C63" t="s">
        <v>10</v>
      </c>
      <c r="D63">
        <v>3.6</v>
      </c>
      <c r="E63">
        <v>163</v>
      </c>
      <c r="F63">
        <v>800</v>
      </c>
      <c r="G63" t="s">
        <v>51</v>
      </c>
      <c r="H63" t="s">
        <v>12</v>
      </c>
      <c r="I63" t="s">
        <v>17</v>
      </c>
    </row>
    <row r="64" spans="1:9" x14ac:dyDescent="0.35">
      <c r="A64" t="s">
        <v>80</v>
      </c>
      <c r="B64" t="s">
        <v>10</v>
      </c>
      <c r="C64" t="s">
        <v>15</v>
      </c>
      <c r="D64">
        <v>3.8</v>
      </c>
      <c r="E64">
        <v>58</v>
      </c>
      <c r="F64">
        <v>150</v>
      </c>
      <c r="G64" t="s">
        <v>51</v>
      </c>
      <c r="H64" t="s">
        <v>19</v>
      </c>
      <c r="I64" t="s">
        <v>17</v>
      </c>
    </row>
    <row r="65" spans="1:9" x14ac:dyDescent="0.35">
      <c r="A65" t="s">
        <v>81</v>
      </c>
      <c r="B65" t="s">
        <v>15</v>
      </c>
      <c r="C65" t="s">
        <v>10</v>
      </c>
      <c r="D65">
        <v>4</v>
      </c>
      <c r="E65">
        <v>808</v>
      </c>
      <c r="F65">
        <v>850</v>
      </c>
      <c r="G65" t="s">
        <v>51</v>
      </c>
      <c r="H65" t="s">
        <v>12</v>
      </c>
      <c r="I65" t="s">
        <v>13</v>
      </c>
    </row>
    <row r="66" spans="1:9" x14ac:dyDescent="0.35">
      <c r="A66" t="s">
        <v>82</v>
      </c>
      <c r="B66" t="s">
        <v>15</v>
      </c>
      <c r="C66" t="s">
        <v>15</v>
      </c>
      <c r="D66">
        <v>3.7</v>
      </c>
      <c r="E66">
        <v>78</v>
      </c>
      <c r="F66">
        <v>150</v>
      </c>
      <c r="G66" t="s">
        <v>51</v>
      </c>
      <c r="H66" t="s">
        <v>19</v>
      </c>
      <c r="I66" t="s">
        <v>17</v>
      </c>
    </row>
    <row r="67" spans="1:9" x14ac:dyDescent="0.35">
      <c r="A67" t="s">
        <v>83</v>
      </c>
      <c r="B67" t="s">
        <v>10</v>
      </c>
      <c r="C67" t="s">
        <v>15</v>
      </c>
      <c r="D67">
        <v>4.0999999999999996</v>
      </c>
      <c r="E67">
        <v>1720</v>
      </c>
      <c r="F67">
        <v>400</v>
      </c>
      <c r="G67" t="s">
        <v>51</v>
      </c>
      <c r="H67" t="s">
        <v>19</v>
      </c>
      <c r="I67" t="s">
        <v>13</v>
      </c>
    </row>
    <row r="68" spans="1:9" x14ac:dyDescent="0.35">
      <c r="A68" t="s">
        <v>84</v>
      </c>
      <c r="B68" t="s">
        <v>10</v>
      </c>
      <c r="C68" t="s">
        <v>15</v>
      </c>
      <c r="D68">
        <v>3.6</v>
      </c>
      <c r="E68">
        <v>34</v>
      </c>
      <c r="F68">
        <v>100</v>
      </c>
      <c r="G68" t="s">
        <v>51</v>
      </c>
      <c r="H68" t="s">
        <v>19</v>
      </c>
      <c r="I68" t="s">
        <v>17</v>
      </c>
    </row>
    <row r="69" spans="1:9" x14ac:dyDescent="0.35">
      <c r="A69" t="s">
        <v>85</v>
      </c>
      <c r="B69" t="s">
        <v>15</v>
      </c>
      <c r="C69" t="s">
        <v>15</v>
      </c>
      <c r="D69">
        <v>4.0999999999999996</v>
      </c>
      <c r="E69">
        <v>868</v>
      </c>
      <c r="F69">
        <v>700</v>
      </c>
      <c r="G69" t="s">
        <v>51</v>
      </c>
      <c r="H69" t="s">
        <v>12</v>
      </c>
      <c r="I69" t="s">
        <v>13</v>
      </c>
    </row>
    <row r="70" spans="1:9" x14ac:dyDescent="0.35">
      <c r="A70" t="s">
        <v>86</v>
      </c>
      <c r="B70" t="s">
        <v>15</v>
      </c>
      <c r="C70" t="s">
        <v>15</v>
      </c>
      <c r="D70">
        <v>3.8</v>
      </c>
      <c r="E70">
        <v>39</v>
      </c>
      <c r="F70">
        <v>300</v>
      </c>
      <c r="G70" t="s">
        <v>51</v>
      </c>
      <c r="H70" t="s">
        <v>19</v>
      </c>
      <c r="I70" t="s">
        <v>17</v>
      </c>
    </row>
    <row r="71" spans="1:9" x14ac:dyDescent="0.35">
      <c r="A71" t="s">
        <v>87</v>
      </c>
      <c r="B71" t="s">
        <v>10</v>
      </c>
      <c r="C71" t="s">
        <v>15</v>
      </c>
      <c r="D71">
        <v>3.2</v>
      </c>
      <c r="E71">
        <v>71</v>
      </c>
      <c r="F71">
        <v>600</v>
      </c>
      <c r="G71" t="s">
        <v>51</v>
      </c>
      <c r="H71" t="s">
        <v>12</v>
      </c>
      <c r="I71" t="s">
        <v>17</v>
      </c>
    </row>
    <row r="72" spans="1:9" x14ac:dyDescent="0.35">
      <c r="A72" t="s">
        <v>88</v>
      </c>
      <c r="B72" t="s">
        <v>10</v>
      </c>
      <c r="C72" t="s">
        <v>15</v>
      </c>
      <c r="D72">
        <v>3.6</v>
      </c>
      <c r="E72">
        <v>6</v>
      </c>
      <c r="F72">
        <v>500</v>
      </c>
      <c r="G72" t="s">
        <v>51</v>
      </c>
      <c r="H72" t="s">
        <v>12</v>
      </c>
      <c r="I72" t="s">
        <v>17</v>
      </c>
    </row>
    <row r="73" spans="1:9" x14ac:dyDescent="0.35">
      <c r="A73" t="s">
        <v>89</v>
      </c>
      <c r="B73" t="s">
        <v>15</v>
      </c>
      <c r="C73" t="s">
        <v>15</v>
      </c>
      <c r="D73">
        <v>4.0999999999999996</v>
      </c>
      <c r="E73">
        <v>520</v>
      </c>
      <c r="F73">
        <v>300</v>
      </c>
      <c r="G73" t="s">
        <v>51</v>
      </c>
      <c r="H73" t="s">
        <v>19</v>
      </c>
      <c r="I73" t="s">
        <v>13</v>
      </c>
    </row>
    <row r="74" spans="1:9" x14ac:dyDescent="0.35">
      <c r="A74" t="s">
        <v>90</v>
      </c>
      <c r="B74" t="s">
        <v>15</v>
      </c>
      <c r="C74" t="s">
        <v>15</v>
      </c>
      <c r="D74">
        <v>4.0999999999999996</v>
      </c>
      <c r="E74">
        <v>0</v>
      </c>
      <c r="F74">
        <v>150</v>
      </c>
      <c r="G74" t="s">
        <v>51</v>
      </c>
      <c r="H74" t="s">
        <v>19</v>
      </c>
      <c r="I74" t="s">
        <v>13</v>
      </c>
    </row>
    <row r="75" spans="1:9" x14ac:dyDescent="0.35">
      <c r="A75" t="s">
        <v>91</v>
      </c>
      <c r="B75" t="s">
        <v>15</v>
      </c>
      <c r="C75" t="s">
        <v>15</v>
      </c>
      <c r="D75">
        <v>2.9</v>
      </c>
      <c r="E75">
        <v>84</v>
      </c>
      <c r="F75">
        <v>700</v>
      </c>
      <c r="G75" t="s">
        <v>26</v>
      </c>
      <c r="H75" t="s">
        <v>12</v>
      </c>
      <c r="I75" t="s">
        <v>49</v>
      </c>
    </row>
    <row r="76" spans="1:9" x14ac:dyDescent="0.35">
      <c r="A76" t="s">
        <v>92</v>
      </c>
      <c r="B76" t="s">
        <v>15</v>
      </c>
      <c r="C76" t="s">
        <v>15</v>
      </c>
      <c r="D76">
        <v>3.6</v>
      </c>
      <c r="E76">
        <v>299</v>
      </c>
      <c r="F76">
        <v>300</v>
      </c>
      <c r="G76" t="s">
        <v>51</v>
      </c>
      <c r="H76" t="s">
        <v>19</v>
      </c>
      <c r="I76" t="s">
        <v>17</v>
      </c>
    </row>
    <row r="77" spans="1:9" x14ac:dyDescent="0.35">
      <c r="A77" t="s">
        <v>93</v>
      </c>
      <c r="B77" t="s">
        <v>15</v>
      </c>
      <c r="C77" t="s">
        <v>15</v>
      </c>
      <c r="D77">
        <v>3.6</v>
      </c>
      <c r="E77">
        <v>0</v>
      </c>
      <c r="F77">
        <v>500</v>
      </c>
      <c r="G77" t="s">
        <v>51</v>
      </c>
      <c r="H77" t="s">
        <v>12</v>
      </c>
      <c r="I77" t="s">
        <v>17</v>
      </c>
    </row>
    <row r="78" spans="1:9" x14ac:dyDescent="0.35">
      <c r="A78" t="s">
        <v>94</v>
      </c>
      <c r="B78" t="s">
        <v>10</v>
      </c>
      <c r="C78" t="s">
        <v>15</v>
      </c>
      <c r="D78">
        <v>4.0999999999999996</v>
      </c>
      <c r="E78">
        <v>558</v>
      </c>
      <c r="F78">
        <v>150</v>
      </c>
      <c r="G78" t="s">
        <v>51</v>
      </c>
      <c r="H78" t="s">
        <v>19</v>
      </c>
      <c r="I78" t="s">
        <v>13</v>
      </c>
    </row>
    <row r="79" spans="1:9" x14ac:dyDescent="0.35">
      <c r="A79" t="s">
        <v>95</v>
      </c>
      <c r="B79" t="s">
        <v>10</v>
      </c>
      <c r="C79" t="s">
        <v>15</v>
      </c>
      <c r="D79">
        <v>3.6</v>
      </c>
      <c r="E79">
        <v>28</v>
      </c>
      <c r="F79">
        <v>300</v>
      </c>
      <c r="G79" t="s">
        <v>51</v>
      </c>
      <c r="H79" t="s">
        <v>19</v>
      </c>
      <c r="I79" t="s">
        <v>17</v>
      </c>
    </row>
    <row r="80" spans="1:9" x14ac:dyDescent="0.35">
      <c r="A80" t="s">
        <v>96</v>
      </c>
      <c r="B80" t="s">
        <v>15</v>
      </c>
      <c r="C80" t="s">
        <v>15</v>
      </c>
      <c r="D80">
        <v>3.7</v>
      </c>
      <c r="E80">
        <v>22</v>
      </c>
      <c r="F80">
        <v>500</v>
      </c>
      <c r="G80" t="s">
        <v>51</v>
      </c>
      <c r="H80" t="s">
        <v>12</v>
      </c>
      <c r="I80" t="s">
        <v>17</v>
      </c>
    </row>
    <row r="81" spans="1:9" x14ac:dyDescent="0.35">
      <c r="A81" t="s">
        <v>97</v>
      </c>
      <c r="B81" t="s">
        <v>15</v>
      </c>
      <c r="C81" t="s">
        <v>15</v>
      </c>
      <c r="D81">
        <v>3.8</v>
      </c>
      <c r="E81">
        <v>39</v>
      </c>
      <c r="F81">
        <v>350</v>
      </c>
      <c r="G81" t="s">
        <v>51</v>
      </c>
      <c r="H81" t="s">
        <v>19</v>
      </c>
      <c r="I81" t="s">
        <v>17</v>
      </c>
    </row>
    <row r="82" spans="1:9" x14ac:dyDescent="0.35">
      <c r="A82" t="s">
        <v>98</v>
      </c>
      <c r="B82" t="s">
        <v>10</v>
      </c>
      <c r="C82" t="s">
        <v>15</v>
      </c>
      <c r="D82">
        <v>3.8</v>
      </c>
      <c r="E82">
        <v>153</v>
      </c>
      <c r="F82">
        <v>500</v>
      </c>
      <c r="G82" t="s">
        <v>51</v>
      </c>
      <c r="H82" t="s">
        <v>12</v>
      </c>
      <c r="I82" t="s">
        <v>17</v>
      </c>
    </row>
    <row r="83" spans="1:9" x14ac:dyDescent="0.35">
      <c r="A83" t="s">
        <v>99</v>
      </c>
      <c r="B83" t="s">
        <v>10</v>
      </c>
      <c r="C83" t="s">
        <v>15</v>
      </c>
      <c r="D83">
        <v>4.2</v>
      </c>
      <c r="E83">
        <v>146</v>
      </c>
      <c r="F83">
        <v>400</v>
      </c>
      <c r="G83" t="s">
        <v>51</v>
      </c>
      <c r="H83" t="s">
        <v>19</v>
      </c>
      <c r="I83" t="s">
        <v>13</v>
      </c>
    </row>
    <row r="84" spans="1:9" x14ac:dyDescent="0.35">
      <c r="A84" t="s">
        <v>100</v>
      </c>
      <c r="B84" t="s">
        <v>15</v>
      </c>
      <c r="C84" t="s">
        <v>15</v>
      </c>
      <c r="D84">
        <v>3.5</v>
      </c>
      <c r="E84">
        <v>14</v>
      </c>
      <c r="F84">
        <v>200</v>
      </c>
      <c r="G84" t="s">
        <v>51</v>
      </c>
      <c r="H84" t="s">
        <v>19</v>
      </c>
      <c r="I84" t="s">
        <v>17</v>
      </c>
    </row>
    <row r="85" spans="1:9" x14ac:dyDescent="0.35">
      <c r="A85" t="s">
        <v>101</v>
      </c>
      <c r="B85" t="s">
        <v>15</v>
      </c>
      <c r="C85" t="s">
        <v>15</v>
      </c>
      <c r="D85">
        <v>3.8</v>
      </c>
      <c r="E85">
        <v>42</v>
      </c>
      <c r="F85">
        <v>700</v>
      </c>
      <c r="G85" t="s">
        <v>51</v>
      </c>
      <c r="H85" t="s">
        <v>12</v>
      </c>
      <c r="I85" t="s">
        <v>17</v>
      </c>
    </row>
    <row r="86" spans="1:9" x14ac:dyDescent="0.35">
      <c r="A86" t="s">
        <v>102</v>
      </c>
      <c r="B86" t="s">
        <v>15</v>
      </c>
      <c r="C86" t="s">
        <v>15</v>
      </c>
      <c r="D86">
        <v>3.8</v>
      </c>
      <c r="E86">
        <v>0</v>
      </c>
      <c r="F86">
        <v>100</v>
      </c>
      <c r="G86" t="s">
        <v>51</v>
      </c>
      <c r="H86" t="s">
        <v>19</v>
      </c>
      <c r="I86" t="s">
        <v>17</v>
      </c>
    </row>
    <row r="87" spans="1:9" x14ac:dyDescent="0.35">
      <c r="A87" t="s">
        <v>103</v>
      </c>
      <c r="B87" t="s">
        <v>15</v>
      </c>
      <c r="C87" t="s">
        <v>15</v>
      </c>
      <c r="D87">
        <v>4</v>
      </c>
      <c r="E87">
        <v>66</v>
      </c>
      <c r="F87">
        <v>300</v>
      </c>
      <c r="G87" t="s">
        <v>51</v>
      </c>
      <c r="H87" t="s">
        <v>19</v>
      </c>
      <c r="I87" t="s">
        <v>13</v>
      </c>
    </row>
    <row r="88" spans="1:9" x14ac:dyDescent="0.35">
      <c r="A88" t="s">
        <v>104</v>
      </c>
      <c r="B88" t="s">
        <v>10</v>
      </c>
      <c r="C88" t="s">
        <v>15</v>
      </c>
      <c r="D88">
        <v>4.4000000000000004</v>
      </c>
      <c r="E88">
        <v>4401</v>
      </c>
      <c r="F88">
        <v>600</v>
      </c>
      <c r="G88" t="s">
        <v>51</v>
      </c>
      <c r="H88" t="s">
        <v>12</v>
      </c>
      <c r="I88" t="s">
        <v>13</v>
      </c>
    </row>
    <row r="89" spans="1:9" x14ac:dyDescent="0.35">
      <c r="A89" t="s">
        <v>105</v>
      </c>
      <c r="B89" t="s">
        <v>15</v>
      </c>
      <c r="C89" t="s">
        <v>15</v>
      </c>
      <c r="D89">
        <v>3.5</v>
      </c>
      <c r="E89">
        <v>31</v>
      </c>
      <c r="F89">
        <v>200</v>
      </c>
      <c r="G89" t="s">
        <v>51</v>
      </c>
      <c r="H89" t="s">
        <v>19</v>
      </c>
      <c r="I89" t="s">
        <v>17</v>
      </c>
    </row>
    <row r="90" spans="1:9" x14ac:dyDescent="0.35">
      <c r="A90" t="s">
        <v>106</v>
      </c>
      <c r="B90" t="s">
        <v>15</v>
      </c>
      <c r="C90" t="s">
        <v>15</v>
      </c>
      <c r="D90">
        <v>3.5</v>
      </c>
      <c r="E90">
        <v>7</v>
      </c>
      <c r="F90">
        <v>500</v>
      </c>
      <c r="G90" t="s">
        <v>51</v>
      </c>
      <c r="H90" t="s">
        <v>12</v>
      </c>
      <c r="I90" t="s">
        <v>17</v>
      </c>
    </row>
    <row r="91" spans="1:9" x14ac:dyDescent="0.35">
      <c r="A91" t="s">
        <v>107</v>
      </c>
      <c r="B91" t="s">
        <v>15</v>
      </c>
      <c r="C91" t="s">
        <v>15</v>
      </c>
      <c r="D91">
        <v>3.7</v>
      </c>
      <c r="E91">
        <v>21</v>
      </c>
      <c r="F91">
        <v>250</v>
      </c>
      <c r="G91" t="s">
        <v>51</v>
      </c>
      <c r="H91" t="s">
        <v>19</v>
      </c>
      <c r="I91" t="s">
        <v>17</v>
      </c>
    </row>
    <row r="92" spans="1:9" x14ac:dyDescent="0.35">
      <c r="A92" t="s">
        <v>108</v>
      </c>
      <c r="B92" t="s">
        <v>15</v>
      </c>
      <c r="C92" t="s">
        <v>15</v>
      </c>
      <c r="D92">
        <v>3.7</v>
      </c>
      <c r="E92">
        <v>0</v>
      </c>
      <c r="F92">
        <v>500</v>
      </c>
      <c r="G92" t="s">
        <v>51</v>
      </c>
      <c r="H92" t="s">
        <v>12</v>
      </c>
      <c r="I92" t="s">
        <v>17</v>
      </c>
    </row>
    <row r="93" spans="1:9" x14ac:dyDescent="0.35">
      <c r="A93" t="s">
        <v>109</v>
      </c>
      <c r="B93" t="s">
        <v>15</v>
      </c>
      <c r="C93" t="s">
        <v>15</v>
      </c>
      <c r="D93">
        <v>3.7</v>
      </c>
      <c r="E93">
        <v>0</v>
      </c>
      <c r="F93">
        <v>400</v>
      </c>
      <c r="G93" t="s">
        <v>51</v>
      </c>
      <c r="H93" t="s">
        <v>19</v>
      </c>
      <c r="I93" t="s">
        <v>17</v>
      </c>
    </row>
    <row r="94" spans="1:9" x14ac:dyDescent="0.35">
      <c r="A94" t="s">
        <v>110</v>
      </c>
      <c r="B94" t="s">
        <v>15</v>
      </c>
      <c r="C94" t="s">
        <v>15</v>
      </c>
      <c r="D94">
        <v>3.7</v>
      </c>
      <c r="E94">
        <v>0</v>
      </c>
      <c r="F94">
        <v>200</v>
      </c>
      <c r="G94" t="s">
        <v>51</v>
      </c>
      <c r="H94" t="s">
        <v>19</v>
      </c>
      <c r="I94" t="s">
        <v>17</v>
      </c>
    </row>
    <row r="95" spans="1:9" x14ac:dyDescent="0.35">
      <c r="A95" t="s">
        <v>111</v>
      </c>
      <c r="B95" t="s">
        <v>15</v>
      </c>
      <c r="C95" t="s">
        <v>15</v>
      </c>
      <c r="D95">
        <v>3.2</v>
      </c>
      <c r="E95">
        <v>9</v>
      </c>
      <c r="F95">
        <v>300</v>
      </c>
      <c r="G95" t="s">
        <v>51</v>
      </c>
      <c r="H95" t="s">
        <v>19</v>
      </c>
      <c r="I95" t="s">
        <v>17</v>
      </c>
    </row>
    <row r="96" spans="1:9" x14ac:dyDescent="0.35">
      <c r="A96" t="s">
        <v>112</v>
      </c>
      <c r="B96" t="s">
        <v>15</v>
      </c>
      <c r="C96" t="s">
        <v>15</v>
      </c>
      <c r="D96">
        <v>2.6</v>
      </c>
      <c r="E96">
        <v>283</v>
      </c>
      <c r="F96">
        <v>600</v>
      </c>
      <c r="G96" t="s">
        <v>51</v>
      </c>
      <c r="H96" t="s">
        <v>12</v>
      </c>
      <c r="I96" t="s">
        <v>49</v>
      </c>
    </row>
    <row r="97" spans="1:9" x14ac:dyDescent="0.35">
      <c r="A97" t="s">
        <v>113</v>
      </c>
      <c r="B97" t="s">
        <v>15</v>
      </c>
      <c r="C97" t="s">
        <v>15</v>
      </c>
      <c r="D97">
        <v>3.3</v>
      </c>
      <c r="E97">
        <v>62</v>
      </c>
      <c r="F97">
        <v>800</v>
      </c>
      <c r="G97" t="s">
        <v>51</v>
      </c>
      <c r="H97" t="s">
        <v>12</v>
      </c>
      <c r="I97" t="s">
        <v>17</v>
      </c>
    </row>
    <row r="98" spans="1:9" x14ac:dyDescent="0.35">
      <c r="A98" t="s">
        <v>114</v>
      </c>
      <c r="B98" t="s">
        <v>15</v>
      </c>
      <c r="C98" t="s">
        <v>15</v>
      </c>
      <c r="D98">
        <v>3.8</v>
      </c>
      <c r="E98">
        <v>64</v>
      </c>
      <c r="F98">
        <v>250</v>
      </c>
      <c r="G98" t="s">
        <v>51</v>
      </c>
      <c r="H98" t="s">
        <v>19</v>
      </c>
      <c r="I98" t="s">
        <v>17</v>
      </c>
    </row>
    <row r="99" spans="1:9" x14ac:dyDescent="0.35">
      <c r="A99" t="s">
        <v>115</v>
      </c>
      <c r="B99" t="s">
        <v>15</v>
      </c>
      <c r="C99" t="s">
        <v>15</v>
      </c>
      <c r="D99">
        <v>3.7</v>
      </c>
      <c r="E99">
        <v>39</v>
      </c>
      <c r="F99">
        <v>950</v>
      </c>
      <c r="G99" t="s">
        <v>51</v>
      </c>
      <c r="H99" t="s">
        <v>12</v>
      </c>
      <c r="I99" t="s">
        <v>17</v>
      </c>
    </row>
    <row r="100" spans="1:9" x14ac:dyDescent="0.35">
      <c r="A100" t="s">
        <v>116</v>
      </c>
      <c r="B100" t="s">
        <v>15</v>
      </c>
      <c r="C100" t="s">
        <v>15</v>
      </c>
      <c r="D100">
        <v>3.7</v>
      </c>
      <c r="E100">
        <v>65</v>
      </c>
      <c r="F100">
        <v>300</v>
      </c>
      <c r="G100" t="s">
        <v>51</v>
      </c>
      <c r="H100" t="s">
        <v>19</v>
      </c>
      <c r="I100" t="s">
        <v>17</v>
      </c>
    </row>
    <row r="101" spans="1:9" x14ac:dyDescent="0.35">
      <c r="A101" t="s">
        <v>117</v>
      </c>
      <c r="B101" t="s">
        <v>10</v>
      </c>
      <c r="C101" t="s">
        <v>15</v>
      </c>
      <c r="D101">
        <v>3.8</v>
      </c>
      <c r="E101">
        <v>71</v>
      </c>
      <c r="F101">
        <v>400</v>
      </c>
      <c r="G101" t="s">
        <v>51</v>
      </c>
      <c r="H101" t="s">
        <v>19</v>
      </c>
      <c r="I101" t="s">
        <v>17</v>
      </c>
    </row>
    <row r="102" spans="1:9" x14ac:dyDescent="0.35">
      <c r="A102" t="s">
        <v>118</v>
      </c>
      <c r="B102" t="s">
        <v>15</v>
      </c>
      <c r="C102" t="s">
        <v>15</v>
      </c>
      <c r="D102">
        <v>3.5</v>
      </c>
      <c r="E102">
        <v>52</v>
      </c>
      <c r="F102">
        <v>300</v>
      </c>
      <c r="G102" t="s">
        <v>51</v>
      </c>
      <c r="H102" t="s">
        <v>19</v>
      </c>
      <c r="I102" t="s">
        <v>17</v>
      </c>
    </row>
    <row r="103" spans="1:9" x14ac:dyDescent="0.35">
      <c r="A103" t="s">
        <v>119</v>
      </c>
      <c r="B103" t="s">
        <v>15</v>
      </c>
      <c r="C103" t="s">
        <v>15</v>
      </c>
      <c r="D103">
        <v>3.7</v>
      </c>
      <c r="E103">
        <v>130</v>
      </c>
      <c r="F103">
        <v>200</v>
      </c>
      <c r="G103" t="s">
        <v>51</v>
      </c>
      <c r="H103" t="s">
        <v>19</v>
      </c>
      <c r="I103" t="s">
        <v>17</v>
      </c>
    </row>
    <row r="104" spans="1:9" x14ac:dyDescent="0.35">
      <c r="A104" t="s">
        <v>120</v>
      </c>
      <c r="B104" t="s">
        <v>15</v>
      </c>
      <c r="C104" t="s">
        <v>15</v>
      </c>
      <c r="D104">
        <v>3.5</v>
      </c>
      <c r="E104">
        <v>10</v>
      </c>
      <c r="F104">
        <v>300</v>
      </c>
      <c r="G104" t="s">
        <v>51</v>
      </c>
      <c r="H104" t="s">
        <v>19</v>
      </c>
      <c r="I104" t="s">
        <v>17</v>
      </c>
    </row>
    <row r="105" spans="1:9" x14ac:dyDescent="0.35">
      <c r="A105" t="s">
        <v>121</v>
      </c>
      <c r="B105" t="s">
        <v>15</v>
      </c>
      <c r="C105" t="s">
        <v>15</v>
      </c>
      <c r="D105">
        <v>3.8</v>
      </c>
      <c r="E105">
        <v>45</v>
      </c>
      <c r="F105">
        <v>400</v>
      </c>
      <c r="G105" t="s">
        <v>51</v>
      </c>
      <c r="H105" t="s">
        <v>19</v>
      </c>
      <c r="I105" t="s">
        <v>17</v>
      </c>
    </row>
    <row r="106" spans="1:9" x14ac:dyDescent="0.35">
      <c r="A106" t="s">
        <v>42</v>
      </c>
      <c r="B106" t="s">
        <v>15</v>
      </c>
      <c r="C106" t="s">
        <v>15</v>
      </c>
      <c r="D106">
        <v>3.2</v>
      </c>
      <c r="E106">
        <v>11</v>
      </c>
      <c r="F106">
        <v>600</v>
      </c>
      <c r="G106" t="s">
        <v>51</v>
      </c>
      <c r="H106" t="s">
        <v>12</v>
      </c>
      <c r="I106" t="s">
        <v>17</v>
      </c>
    </row>
    <row r="107" spans="1:9" x14ac:dyDescent="0.35">
      <c r="A107" t="s">
        <v>122</v>
      </c>
      <c r="B107" t="s">
        <v>15</v>
      </c>
      <c r="C107" t="s">
        <v>15</v>
      </c>
      <c r="D107">
        <v>3.5</v>
      </c>
      <c r="E107">
        <v>13</v>
      </c>
      <c r="F107">
        <v>300</v>
      </c>
      <c r="G107" t="s">
        <v>51</v>
      </c>
      <c r="H107" t="s">
        <v>19</v>
      </c>
      <c r="I107" t="s">
        <v>17</v>
      </c>
    </row>
    <row r="108" spans="1:9" x14ac:dyDescent="0.35">
      <c r="A108" t="s">
        <v>123</v>
      </c>
      <c r="B108" t="s">
        <v>15</v>
      </c>
      <c r="C108" t="s">
        <v>15</v>
      </c>
      <c r="D108">
        <v>3.4</v>
      </c>
      <c r="E108">
        <v>8</v>
      </c>
      <c r="F108">
        <v>300</v>
      </c>
      <c r="G108" t="s">
        <v>51</v>
      </c>
      <c r="H108" t="s">
        <v>19</v>
      </c>
      <c r="I108" t="s">
        <v>17</v>
      </c>
    </row>
    <row r="109" spans="1:9" x14ac:dyDescent="0.35">
      <c r="A109" t="s">
        <v>124</v>
      </c>
      <c r="B109" t="s">
        <v>15</v>
      </c>
      <c r="C109" t="s">
        <v>15</v>
      </c>
      <c r="D109">
        <v>3.4</v>
      </c>
      <c r="E109">
        <v>0</v>
      </c>
      <c r="F109">
        <v>250</v>
      </c>
      <c r="G109" t="s">
        <v>51</v>
      </c>
      <c r="H109" t="s">
        <v>19</v>
      </c>
      <c r="I109" t="s">
        <v>17</v>
      </c>
    </row>
    <row r="110" spans="1:9" x14ac:dyDescent="0.35">
      <c r="A110" t="s">
        <v>125</v>
      </c>
      <c r="B110" t="s">
        <v>15</v>
      </c>
      <c r="C110" t="s">
        <v>15</v>
      </c>
      <c r="D110">
        <v>3.2</v>
      </c>
      <c r="E110">
        <v>9</v>
      </c>
      <c r="F110">
        <v>300</v>
      </c>
      <c r="G110" t="s">
        <v>51</v>
      </c>
      <c r="H110" t="s">
        <v>19</v>
      </c>
      <c r="I110" t="s">
        <v>17</v>
      </c>
    </row>
    <row r="111" spans="1:9" x14ac:dyDescent="0.35">
      <c r="A111" t="s">
        <v>126</v>
      </c>
      <c r="B111" t="s">
        <v>15</v>
      </c>
      <c r="C111" t="s">
        <v>15</v>
      </c>
      <c r="D111">
        <v>3.2</v>
      </c>
      <c r="E111">
        <v>4</v>
      </c>
      <c r="F111">
        <v>300</v>
      </c>
      <c r="G111" t="s">
        <v>51</v>
      </c>
      <c r="H111" t="s">
        <v>19</v>
      </c>
      <c r="I111" t="s">
        <v>17</v>
      </c>
    </row>
    <row r="112" spans="1:9" x14ac:dyDescent="0.35">
      <c r="A112" t="s">
        <v>127</v>
      </c>
      <c r="B112" t="s">
        <v>15</v>
      </c>
      <c r="C112" t="s">
        <v>15</v>
      </c>
      <c r="D112">
        <v>3.2</v>
      </c>
      <c r="E112">
        <v>0</v>
      </c>
      <c r="F112">
        <v>200</v>
      </c>
      <c r="G112" t="s">
        <v>51</v>
      </c>
      <c r="H112" t="s">
        <v>19</v>
      </c>
      <c r="I112" t="s">
        <v>17</v>
      </c>
    </row>
    <row r="113" spans="1:9" x14ac:dyDescent="0.35">
      <c r="A113" t="s">
        <v>128</v>
      </c>
      <c r="B113" t="s">
        <v>15</v>
      </c>
      <c r="C113" t="s">
        <v>15</v>
      </c>
      <c r="D113">
        <v>3.1</v>
      </c>
      <c r="E113">
        <v>29</v>
      </c>
      <c r="F113">
        <v>150</v>
      </c>
      <c r="G113" t="s">
        <v>51</v>
      </c>
      <c r="H113" t="s">
        <v>19</v>
      </c>
      <c r="I113" t="s">
        <v>17</v>
      </c>
    </row>
    <row r="114" spans="1:9" x14ac:dyDescent="0.35">
      <c r="A114" t="s">
        <v>129</v>
      </c>
      <c r="B114" t="s">
        <v>15</v>
      </c>
      <c r="C114" t="s">
        <v>15</v>
      </c>
      <c r="D114">
        <v>3.4</v>
      </c>
      <c r="E114">
        <v>8</v>
      </c>
      <c r="F114">
        <v>400</v>
      </c>
      <c r="G114" t="s">
        <v>51</v>
      </c>
      <c r="H114" t="s">
        <v>19</v>
      </c>
      <c r="I114" t="s">
        <v>17</v>
      </c>
    </row>
    <row r="115" spans="1:9" x14ac:dyDescent="0.35">
      <c r="A115" t="s">
        <v>130</v>
      </c>
      <c r="B115" t="s">
        <v>15</v>
      </c>
      <c r="C115" t="s">
        <v>15</v>
      </c>
      <c r="D115">
        <v>3.4</v>
      </c>
      <c r="E115">
        <v>0</v>
      </c>
      <c r="F115">
        <v>150</v>
      </c>
      <c r="G115" t="s">
        <v>51</v>
      </c>
      <c r="H115" t="s">
        <v>19</v>
      </c>
      <c r="I115" t="s">
        <v>17</v>
      </c>
    </row>
    <row r="116" spans="1:9" x14ac:dyDescent="0.35">
      <c r="A116" t="s">
        <v>131</v>
      </c>
      <c r="B116" t="s">
        <v>15</v>
      </c>
      <c r="C116" t="s">
        <v>15</v>
      </c>
      <c r="D116">
        <v>3.4</v>
      </c>
      <c r="E116">
        <v>0</v>
      </c>
      <c r="F116">
        <v>300</v>
      </c>
      <c r="G116" t="s">
        <v>51</v>
      </c>
      <c r="H116" t="s">
        <v>19</v>
      </c>
      <c r="I116" t="s">
        <v>17</v>
      </c>
    </row>
    <row r="117" spans="1:9" x14ac:dyDescent="0.35">
      <c r="A117" t="s">
        <v>132</v>
      </c>
      <c r="B117" t="s">
        <v>15</v>
      </c>
      <c r="C117" t="s">
        <v>15</v>
      </c>
      <c r="D117">
        <v>3.4</v>
      </c>
      <c r="E117">
        <v>0</v>
      </c>
      <c r="F117">
        <v>200</v>
      </c>
      <c r="G117" t="s">
        <v>51</v>
      </c>
      <c r="H117" t="s">
        <v>19</v>
      </c>
      <c r="I117" t="s">
        <v>17</v>
      </c>
    </row>
    <row r="118" spans="1:9" x14ac:dyDescent="0.35">
      <c r="A118" t="s">
        <v>133</v>
      </c>
      <c r="B118" t="s">
        <v>15</v>
      </c>
      <c r="C118" t="s">
        <v>15</v>
      </c>
      <c r="D118">
        <v>3.4</v>
      </c>
      <c r="E118">
        <v>0</v>
      </c>
      <c r="F118">
        <v>150</v>
      </c>
      <c r="G118" t="s">
        <v>51</v>
      </c>
      <c r="H118" t="s">
        <v>19</v>
      </c>
      <c r="I118" t="s">
        <v>17</v>
      </c>
    </row>
    <row r="119" spans="1:9" x14ac:dyDescent="0.35">
      <c r="A119" t="s">
        <v>134</v>
      </c>
      <c r="B119" t="s">
        <v>15</v>
      </c>
      <c r="C119" t="s">
        <v>15</v>
      </c>
      <c r="D119">
        <v>3.4</v>
      </c>
      <c r="E119">
        <v>0</v>
      </c>
      <c r="F119">
        <v>150</v>
      </c>
      <c r="G119" t="s">
        <v>51</v>
      </c>
      <c r="H119" t="s">
        <v>19</v>
      </c>
      <c r="I119" t="s">
        <v>17</v>
      </c>
    </row>
    <row r="120" spans="1:9" x14ac:dyDescent="0.35">
      <c r="A120" t="s">
        <v>135</v>
      </c>
      <c r="B120" t="s">
        <v>15</v>
      </c>
      <c r="C120" t="s">
        <v>15</v>
      </c>
      <c r="D120">
        <v>3.4</v>
      </c>
      <c r="E120">
        <v>0</v>
      </c>
      <c r="F120">
        <v>250</v>
      </c>
      <c r="G120" t="s">
        <v>51</v>
      </c>
      <c r="H120" t="s">
        <v>19</v>
      </c>
      <c r="I120" t="s">
        <v>17</v>
      </c>
    </row>
    <row r="121" spans="1:9" x14ac:dyDescent="0.35">
      <c r="A121" t="s">
        <v>136</v>
      </c>
      <c r="B121" t="s">
        <v>15</v>
      </c>
      <c r="C121" t="s">
        <v>15</v>
      </c>
      <c r="D121">
        <v>3.1</v>
      </c>
      <c r="E121">
        <v>30</v>
      </c>
      <c r="F121">
        <v>900</v>
      </c>
      <c r="G121" t="s">
        <v>51</v>
      </c>
      <c r="H121" t="s">
        <v>12</v>
      </c>
      <c r="I121" t="s">
        <v>17</v>
      </c>
    </row>
    <row r="122" spans="1:9" x14ac:dyDescent="0.35">
      <c r="A122" t="s">
        <v>137</v>
      </c>
      <c r="B122" t="s">
        <v>10</v>
      </c>
      <c r="C122" t="s">
        <v>15</v>
      </c>
      <c r="D122">
        <v>4.0999999999999996</v>
      </c>
      <c r="E122">
        <v>201</v>
      </c>
      <c r="F122">
        <v>300</v>
      </c>
      <c r="G122" t="s">
        <v>51</v>
      </c>
      <c r="H122" t="s">
        <v>19</v>
      </c>
      <c r="I122" t="s">
        <v>13</v>
      </c>
    </row>
    <row r="123" spans="1:9" x14ac:dyDescent="0.35">
      <c r="A123" t="s">
        <v>138</v>
      </c>
      <c r="B123" t="s">
        <v>15</v>
      </c>
      <c r="C123" t="s">
        <v>15</v>
      </c>
      <c r="D123">
        <v>3.3</v>
      </c>
      <c r="E123">
        <v>7</v>
      </c>
      <c r="F123">
        <v>200</v>
      </c>
      <c r="G123" t="s">
        <v>51</v>
      </c>
      <c r="H123" t="s">
        <v>19</v>
      </c>
      <c r="I123" t="s">
        <v>17</v>
      </c>
    </row>
    <row r="124" spans="1:9" x14ac:dyDescent="0.35">
      <c r="A124" t="s">
        <v>139</v>
      </c>
      <c r="B124" t="s">
        <v>15</v>
      </c>
      <c r="C124" t="s">
        <v>15</v>
      </c>
      <c r="D124">
        <v>3.1</v>
      </c>
      <c r="E124">
        <v>6</v>
      </c>
      <c r="F124">
        <v>100</v>
      </c>
      <c r="G124" t="s">
        <v>51</v>
      </c>
      <c r="H124" t="s">
        <v>19</v>
      </c>
      <c r="I124" t="s">
        <v>17</v>
      </c>
    </row>
    <row r="125" spans="1:9" x14ac:dyDescent="0.35">
      <c r="A125" t="s">
        <v>140</v>
      </c>
      <c r="B125" t="s">
        <v>15</v>
      </c>
      <c r="C125" t="s">
        <v>15</v>
      </c>
      <c r="D125">
        <v>3.3</v>
      </c>
      <c r="E125">
        <v>17</v>
      </c>
      <c r="F125">
        <v>200</v>
      </c>
      <c r="G125" t="s">
        <v>51</v>
      </c>
      <c r="H125" t="s">
        <v>19</v>
      </c>
      <c r="I125" t="s">
        <v>17</v>
      </c>
    </row>
    <row r="126" spans="1:9" x14ac:dyDescent="0.35">
      <c r="A126" t="s">
        <v>141</v>
      </c>
      <c r="B126" t="s">
        <v>15</v>
      </c>
      <c r="C126" t="s">
        <v>15</v>
      </c>
      <c r="D126">
        <v>2.9</v>
      </c>
      <c r="E126">
        <v>25</v>
      </c>
      <c r="F126">
        <v>200</v>
      </c>
      <c r="G126" t="s">
        <v>51</v>
      </c>
      <c r="H126" t="s">
        <v>19</v>
      </c>
      <c r="I126" t="s">
        <v>49</v>
      </c>
    </row>
    <row r="127" spans="1:9" x14ac:dyDescent="0.35">
      <c r="A127" t="s">
        <v>142</v>
      </c>
      <c r="B127" t="s">
        <v>15</v>
      </c>
      <c r="C127" t="s">
        <v>15</v>
      </c>
      <c r="D127">
        <v>2.9</v>
      </c>
      <c r="E127">
        <v>0</v>
      </c>
      <c r="F127">
        <v>400</v>
      </c>
      <c r="G127" t="s">
        <v>51</v>
      </c>
      <c r="H127" t="s">
        <v>19</v>
      </c>
      <c r="I127" t="s">
        <v>49</v>
      </c>
    </row>
    <row r="128" spans="1:9" x14ac:dyDescent="0.35">
      <c r="A128" t="s">
        <v>143</v>
      </c>
      <c r="B128" t="s">
        <v>15</v>
      </c>
      <c r="C128" t="s">
        <v>15</v>
      </c>
      <c r="D128">
        <v>2.9</v>
      </c>
      <c r="E128">
        <v>0</v>
      </c>
      <c r="F128">
        <v>350</v>
      </c>
      <c r="G128" t="s">
        <v>51</v>
      </c>
      <c r="H128" t="s">
        <v>19</v>
      </c>
      <c r="I128" t="s">
        <v>49</v>
      </c>
    </row>
    <row r="129" spans="1:9" x14ac:dyDescent="0.35">
      <c r="A129" t="s">
        <v>144</v>
      </c>
      <c r="B129" t="s">
        <v>15</v>
      </c>
      <c r="C129" t="s">
        <v>15</v>
      </c>
      <c r="D129">
        <v>3.3</v>
      </c>
      <c r="E129">
        <v>8</v>
      </c>
      <c r="F129">
        <v>100</v>
      </c>
      <c r="G129" t="s">
        <v>51</v>
      </c>
      <c r="H129" t="s">
        <v>19</v>
      </c>
      <c r="I129" t="s">
        <v>17</v>
      </c>
    </row>
    <row r="130" spans="1:9" x14ac:dyDescent="0.35">
      <c r="A130" t="s">
        <v>145</v>
      </c>
      <c r="B130" t="s">
        <v>15</v>
      </c>
      <c r="C130" t="s">
        <v>15</v>
      </c>
      <c r="D130">
        <v>3.3</v>
      </c>
      <c r="E130">
        <v>0</v>
      </c>
      <c r="F130">
        <v>150</v>
      </c>
      <c r="G130" t="s">
        <v>51</v>
      </c>
      <c r="H130" t="s">
        <v>19</v>
      </c>
      <c r="I130" t="s">
        <v>17</v>
      </c>
    </row>
    <row r="131" spans="1:9" x14ac:dyDescent="0.35">
      <c r="A131" t="s">
        <v>146</v>
      </c>
      <c r="B131" t="s">
        <v>15</v>
      </c>
      <c r="C131" t="s">
        <v>15</v>
      </c>
      <c r="D131">
        <v>3.4</v>
      </c>
      <c r="E131">
        <v>0</v>
      </c>
      <c r="F131">
        <v>150</v>
      </c>
      <c r="G131" t="s">
        <v>51</v>
      </c>
      <c r="H131" t="s">
        <v>19</v>
      </c>
      <c r="I131" t="s">
        <v>17</v>
      </c>
    </row>
    <row r="132" spans="1:9" x14ac:dyDescent="0.35">
      <c r="A132" t="s">
        <v>147</v>
      </c>
      <c r="B132" t="s">
        <v>15</v>
      </c>
      <c r="C132" t="s">
        <v>15</v>
      </c>
      <c r="D132">
        <v>3.4</v>
      </c>
      <c r="E132">
        <v>0</v>
      </c>
      <c r="F132">
        <v>200</v>
      </c>
      <c r="G132" t="s">
        <v>51</v>
      </c>
      <c r="H132" t="s">
        <v>19</v>
      </c>
      <c r="I132" t="s">
        <v>17</v>
      </c>
    </row>
    <row r="133" spans="1:9" x14ac:dyDescent="0.35">
      <c r="A133" t="s">
        <v>148</v>
      </c>
      <c r="B133" t="s">
        <v>15</v>
      </c>
      <c r="C133" t="s">
        <v>15</v>
      </c>
      <c r="D133">
        <v>3.4</v>
      </c>
      <c r="E133">
        <v>0</v>
      </c>
      <c r="F133">
        <v>100</v>
      </c>
      <c r="G133" t="s">
        <v>51</v>
      </c>
      <c r="H133" t="s">
        <v>19</v>
      </c>
      <c r="I133" t="s">
        <v>17</v>
      </c>
    </row>
    <row r="134" spans="1:9" x14ac:dyDescent="0.35">
      <c r="A134" t="s">
        <v>149</v>
      </c>
      <c r="B134" t="s">
        <v>15</v>
      </c>
      <c r="C134" t="s">
        <v>15</v>
      </c>
      <c r="D134">
        <v>3.1</v>
      </c>
      <c r="E134">
        <v>0</v>
      </c>
      <c r="F134">
        <v>400</v>
      </c>
      <c r="G134" t="s">
        <v>51</v>
      </c>
      <c r="H134" t="s">
        <v>19</v>
      </c>
      <c r="I134" t="s">
        <v>17</v>
      </c>
    </row>
    <row r="135" spans="1:9" x14ac:dyDescent="0.35">
      <c r="A135" t="s">
        <v>150</v>
      </c>
      <c r="B135" t="s">
        <v>15</v>
      </c>
      <c r="C135" t="s">
        <v>15</v>
      </c>
      <c r="D135">
        <v>4.0999999999999996</v>
      </c>
      <c r="E135">
        <v>0</v>
      </c>
      <c r="F135">
        <v>200</v>
      </c>
      <c r="G135" t="s">
        <v>51</v>
      </c>
      <c r="H135" t="s">
        <v>19</v>
      </c>
      <c r="I135" t="s">
        <v>13</v>
      </c>
    </row>
    <row r="136" spans="1:9" x14ac:dyDescent="0.35">
      <c r="A136" t="s">
        <v>151</v>
      </c>
      <c r="B136" t="s">
        <v>15</v>
      </c>
      <c r="C136" t="s">
        <v>15</v>
      </c>
      <c r="D136">
        <v>3.3</v>
      </c>
      <c r="E136">
        <v>0</v>
      </c>
      <c r="F136">
        <v>150</v>
      </c>
      <c r="G136" t="s">
        <v>51</v>
      </c>
      <c r="H136" t="s">
        <v>19</v>
      </c>
      <c r="I136" t="s">
        <v>17</v>
      </c>
    </row>
    <row r="137" spans="1:9" x14ac:dyDescent="0.35">
      <c r="A137" t="s">
        <v>152</v>
      </c>
      <c r="B137" t="s">
        <v>15</v>
      </c>
      <c r="C137" t="s">
        <v>15</v>
      </c>
      <c r="D137">
        <v>3.1</v>
      </c>
      <c r="E137">
        <v>0</v>
      </c>
      <c r="F137">
        <v>400</v>
      </c>
      <c r="G137" t="s">
        <v>51</v>
      </c>
      <c r="H137" t="s">
        <v>19</v>
      </c>
      <c r="I137" t="s">
        <v>17</v>
      </c>
    </row>
    <row r="138" spans="1:9" x14ac:dyDescent="0.35">
      <c r="A138" t="s">
        <v>153</v>
      </c>
      <c r="B138" t="s">
        <v>15</v>
      </c>
      <c r="C138" t="s">
        <v>15</v>
      </c>
      <c r="D138">
        <v>3.3</v>
      </c>
      <c r="E138">
        <v>0</v>
      </c>
      <c r="F138">
        <v>150</v>
      </c>
      <c r="G138" t="s">
        <v>51</v>
      </c>
      <c r="H138" t="s">
        <v>19</v>
      </c>
      <c r="I138" t="s">
        <v>17</v>
      </c>
    </row>
    <row r="139" spans="1:9" x14ac:dyDescent="0.35">
      <c r="A139" t="s">
        <v>154</v>
      </c>
      <c r="B139" t="s">
        <v>15</v>
      </c>
      <c r="C139" t="s">
        <v>15</v>
      </c>
      <c r="D139">
        <v>2.9</v>
      </c>
      <c r="E139">
        <v>0</v>
      </c>
      <c r="F139">
        <v>250</v>
      </c>
      <c r="G139" t="s">
        <v>51</v>
      </c>
      <c r="H139" t="s">
        <v>19</v>
      </c>
      <c r="I139" t="s">
        <v>49</v>
      </c>
    </row>
    <row r="140" spans="1:9" x14ac:dyDescent="0.35">
      <c r="A140" t="s">
        <v>155</v>
      </c>
      <c r="B140" t="s">
        <v>15</v>
      </c>
      <c r="C140" t="s">
        <v>15</v>
      </c>
      <c r="D140">
        <v>2.9</v>
      </c>
      <c r="E140">
        <v>0</v>
      </c>
      <c r="F140">
        <v>250</v>
      </c>
      <c r="G140" t="s">
        <v>51</v>
      </c>
      <c r="H140" t="s">
        <v>19</v>
      </c>
      <c r="I140" t="s">
        <v>49</v>
      </c>
    </row>
    <row r="141" spans="1:9" x14ac:dyDescent="0.35">
      <c r="A141" t="s">
        <v>156</v>
      </c>
      <c r="B141" t="s">
        <v>15</v>
      </c>
      <c r="C141" t="s">
        <v>15</v>
      </c>
      <c r="D141">
        <v>2.9</v>
      </c>
      <c r="E141">
        <v>0</v>
      </c>
      <c r="F141">
        <v>150</v>
      </c>
      <c r="G141" t="s">
        <v>51</v>
      </c>
      <c r="H141" t="s">
        <v>19</v>
      </c>
      <c r="I141" t="s">
        <v>49</v>
      </c>
    </row>
    <row r="142" spans="1:9" x14ac:dyDescent="0.35">
      <c r="A142" t="s">
        <v>157</v>
      </c>
      <c r="B142" t="s">
        <v>15</v>
      </c>
      <c r="C142" t="s">
        <v>15</v>
      </c>
      <c r="D142">
        <v>3.3</v>
      </c>
      <c r="E142">
        <v>0</v>
      </c>
      <c r="F142">
        <v>200</v>
      </c>
      <c r="G142" t="s">
        <v>51</v>
      </c>
      <c r="H142" t="s">
        <v>19</v>
      </c>
      <c r="I142" t="s">
        <v>17</v>
      </c>
    </row>
    <row r="143" spans="1:9" x14ac:dyDescent="0.35">
      <c r="A143" t="s">
        <v>158</v>
      </c>
      <c r="B143" t="s">
        <v>15</v>
      </c>
      <c r="C143" t="s">
        <v>15</v>
      </c>
      <c r="D143">
        <v>3.3</v>
      </c>
      <c r="E143">
        <v>0</v>
      </c>
      <c r="F143">
        <v>350</v>
      </c>
      <c r="G143" t="s">
        <v>51</v>
      </c>
      <c r="H143" t="s">
        <v>19</v>
      </c>
      <c r="I143" t="s">
        <v>17</v>
      </c>
    </row>
    <row r="144" spans="1:9" x14ac:dyDescent="0.35">
      <c r="A144" t="s">
        <v>159</v>
      </c>
      <c r="B144" t="s">
        <v>15</v>
      </c>
      <c r="C144" t="s">
        <v>15</v>
      </c>
      <c r="D144">
        <v>3.3</v>
      </c>
      <c r="E144">
        <v>0</v>
      </c>
      <c r="F144">
        <v>300</v>
      </c>
      <c r="G144" t="s">
        <v>51</v>
      </c>
      <c r="H144" t="s">
        <v>19</v>
      </c>
      <c r="I144" t="s">
        <v>17</v>
      </c>
    </row>
    <row r="145" spans="1:9" x14ac:dyDescent="0.35">
      <c r="A145" t="s">
        <v>160</v>
      </c>
      <c r="B145" t="s">
        <v>15</v>
      </c>
      <c r="C145" t="s">
        <v>15</v>
      </c>
      <c r="D145">
        <v>3.3</v>
      </c>
      <c r="E145">
        <v>0</v>
      </c>
      <c r="F145">
        <v>100</v>
      </c>
      <c r="G145" t="s">
        <v>51</v>
      </c>
      <c r="H145" t="s">
        <v>19</v>
      </c>
      <c r="I145" t="s">
        <v>17</v>
      </c>
    </row>
    <row r="146" spans="1:9" x14ac:dyDescent="0.35">
      <c r="A146" t="s">
        <v>161</v>
      </c>
      <c r="B146" t="s">
        <v>15</v>
      </c>
      <c r="C146" t="s">
        <v>15</v>
      </c>
      <c r="D146">
        <v>3.3</v>
      </c>
      <c r="E146">
        <v>0</v>
      </c>
      <c r="F146">
        <v>150</v>
      </c>
      <c r="G146" t="s">
        <v>51</v>
      </c>
      <c r="H146" t="s">
        <v>19</v>
      </c>
      <c r="I146" t="s">
        <v>17</v>
      </c>
    </row>
    <row r="147" spans="1:9" x14ac:dyDescent="0.35">
      <c r="A147" t="s">
        <v>162</v>
      </c>
      <c r="B147" t="s">
        <v>10</v>
      </c>
      <c r="C147" t="s">
        <v>15</v>
      </c>
      <c r="D147">
        <v>4</v>
      </c>
      <c r="E147">
        <v>771</v>
      </c>
      <c r="F147">
        <v>450</v>
      </c>
      <c r="G147" t="s">
        <v>51</v>
      </c>
      <c r="H147" t="s">
        <v>19</v>
      </c>
      <c r="I147" t="s">
        <v>13</v>
      </c>
    </row>
    <row r="148" spans="1:9" x14ac:dyDescent="0.35">
      <c r="A148" t="s">
        <v>163</v>
      </c>
      <c r="B148" t="s">
        <v>15</v>
      </c>
      <c r="C148" t="s">
        <v>15</v>
      </c>
      <c r="D148">
        <v>3</v>
      </c>
      <c r="E148">
        <v>98</v>
      </c>
      <c r="F148">
        <v>800</v>
      </c>
      <c r="G148" t="s">
        <v>51</v>
      </c>
      <c r="H148" t="s">
        <v>12</v>
      </c>
      <c r="I148" t="s">
        <v>17</v>
      </c>
    </row>
    <row r="149" spans="1:9" x14ac:dyDescent="0.35">
      <c r="A149" t="s">
        <v>164</v>
      </c>
      <c r="B149" t="s">
        <v>10</v>
      </c>
      <c r="C149" t="s">
        <v>15</v>
      </c>
      <c r="D149">
        <v>3.9</v>
      </c>
      <c r="E149">
        <v>47</v>
      </c>
      <c r="F149">
        <v>200</v>
      </c>
      <c r="G149" t="s">
        <v>51</v>
      </c>
      <c r="H149" t="s">
        <v>19</v>
      </c>
      <c r="I149" t="s">
        <v>17</v>
      </c>
    </row>
  </sheetData>
  <mergeCells count="1">
    <mergeCell ref="L3:AE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manvitha devathi</dc:creator>
  <cp:lastModifiedBy>manvitha devathi</cp:lastModifiedBy>
  <dcterms:created xsi:type="dcterms:W3CDTF">2015-06-05T18:17:20Z</dcterms:created>
  <dcterms:modified xsi:type="dcterms:W3CDTF">2026-05-10T15:58:04Z</dcterms:modified>
</cp:coreProperties>
</file>